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" yWindow="120" windowWidth="24570" windowHeight="14080" tabRatio="600" firstSheet="0" activeTab="0" autoFilterDateGrouping="1"/>
  </bookViews>
  <sheets>
    <sheet xmlns:r="http://schemas.openxmlformats.org/officeDocument/2006/relationships" name="Settings" sheetId="1" state="visible" r:id="rId1"/>
    <sheet xmlns:r="http://schemas.openxmlformats.org/officeDocument/2006/relationships" name="Customers" sheetId="2" state="visible" r:id="rId2"/>
    <sheet xmlns:r="http://schemas.openxmlformats.org/officeDocument/2006/relationships" name="Jobs_Schedule" sheetId="3" state="visible" r:id="rId3"/>
    <sheet xmlns:r="http://schemas.openxmlformats.org/officeDocument/2006/relationships" name="Route_Planner" sheetId="4" state="visible" r:id="rId4"/>
    <sheet xmlns:r="http://schemas.openxmlformats.org/officeDocument/2006/relationships" name="Quotes" sheetId="5" state="visible" r:id="rId5"/>
    <sheet xmlns:r="http://schemas.openxmlformats.org/officeDocument/2006/relationships" name="Invoices" sheetId="6" state="visible" r:id="rId6"/>
    <sheet xmlns:r="http://schemas.openxmlformats.org/officeDocument/2006/relationships" name="TimeLog" sheetId="7" state="visible" r:id="rId7"/>
    <sheet xmlns:r="http://schemas.openxmlformats.org/officeDocument/2006/relationships" name="Services_Pricing" sheetId="8" state="visible" r:id="rId8"/>
    <sheet xmlns:r="http://schemas.openxmlformats.org/officeDocument/2006/relationships" name="AI-Prowler_Command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00000"/>
    <numFmt numFmtId="166" formatCode="$#,##0.00"/>
    <numFmt numFmtId="167" formatCode="MM/DD/YYYY"/>
    <numFmt numFmtId="168" formatCode="$#,##0.000"/>
  </numFmts>
  <fonts count="3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  <sz val="10"/>
    </font>
    <font>
      <name val="Arial"/>
      <sz val="10"/>
    </font>
    <font>
      <name val="Arial"/>
      <color rgb="FF000000"/>
      <sz val="10"/>
    </font>
    <font>
      <name val="Arial"/>
      <i val="1"/>
      <color rgb="FF595959"/>
      <sz val="10"/>
    </font>
    <font>
      <name val="Arial"/>
      <b val="1"/>
      <color rgb="FFFFFFFF"/>
      <sz val="11"/>
    </font>
    <font>
      <b val="1"/>
      <sz val="14"/>
    </font>
    <font>
      <b val="1"/>
      <sz val="10"/>
    </font>
    <font/>
    <font>
      <b val="1"/>
      <color rgb="00FF0000"/>
      <sz val="10"/>
    </font>
    <font>
      <b val="1"/>
      <color rgb="00FF0000"/>
      <sz val="12"/>
    </font>
    <font>
      <i val="1"/>
      <color rgb="00888888"/>
      <sz val="9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  <i val="1"/>
      <sz val="10"/>
    </font>
    <font>
      <i val="1"/>
      <color rgb="00555555"/>
      <sz val="10"/>
    </font>
    <font>
      <i val="1"/>
      <color rgb="00AAAAAA"/>
      <sz val="9"/>
    </font>
    <font>
      <b val="1"/>
      <color rgb="00CC0000"/>
      <sz val="10"/>
    </font>
    <font>
      <b val="1"/>
      <color rgb="00CC0000"/>
      <sz val="12"/>
    </font>
    <font>
      <b val="1"/>
      <color rgb="00FFFFFF"/>
      <sz val="16"/>
    </font>
    <font>
      <b val="1"/>
      <color rgb="001A237E"/>
      <sz val="10"/>
    </font>
    <font>
      <color rgb="00212121"/>
      <sz val="10"/>
    </font>
    <font>
      <i val="1"/>
      <color rgb="00757575"/>
      <sz val="9"/>
    </font>
    <font>
      <b val="1"/>
      <color rgb="00FFFFFF"/>
      <sz val="14"/>
    </font>
    <font>
      <b val="1"/>
      <i val="1"/>
      <color rgb="00FFFFFF"/>
      <sz val="10"/>
    </font>
    <font>
      <color rgb="00555555"/>
      <sz val="10"/>
    </font>
    <font>
      <color rgb="00AAAAAA"/>
      <sz val="9"/>
    </font>
    <font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2E74B5"/>
      </patternFill>
    </fill>
    <fill>
      <patternFill patternType="solid">
        <fgColor rgb="001F3864"/>
      </patternFill>
    </fill>
    <fill>
      <patternFill patternType="solid">
        <fgColor rgb="002E4BA0"/>
      </patternFill>
    </fill>
    <fill>
      <patternFill patternType="solid">
        <fgColor rgb="00FFFDE7"/>
      </patternFill>
    </fill>
    <fill>
      <patternFill patternType="solid">
        <fgColor rgb="00FFF3CD"/>
      </patternFill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E8EAF6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0" borderId="0" pivotButton="0" quotePrefix="0" xfId="0"/>
    <xf numFmtId="164" fontId="0" fillId="0" borderId="0" applyAlignment="1" pivotButton="0" quotePrefix="0" xfId="0">
      <alignment horizontal="left" vertical="top" wrapText="1"/>
    </xf>
    <xf numFmtId="0" fontId="3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6" fillId="3" borderId="0" pivotButton="0" quotePrefix="0" xfId="0"/>
    <xf numFmtId="0" fontId="0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top" wrapText="1"/>
    </xf>
    <xf numFmtId="49" fontId="0" fillId="0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left" vertical="top" wrapText="1"/>
    </xf>
    <xf numFmtId="1" fontId="0" fillId="0" borderId="0" applyAlignment="1" pivotButton="0" quotePrefix="0" xfId="0">
      <alignment horizontal="left" vertical="top" wrapText="1"/>
    </xf>
    <xf numFmtId="166" fontId="0" fillId="0" borderId="0" applyAlignment="1" pivotButton="0" quotePrefix="0" xfId="0">
      <alignment horizontal="left" vertical="top" wrapText="1"/>
    </xf>
    <xf numFmtId="10" fontId="0" fillId="0" borderId="0" applyAlignment="1" pivotButton="0" quotePrefix="0" xfId="0">
      <alignment horizontal="left" vertical="top" wrapText="1"/>
    </xf>
    <xf numFmtId="167" fontId="0" fillId="0" borderId="0" applyAlignment="1" pivotButton="0" quotePrefix="0" xfId="0">
      <alignment horizontal="left" vertical="top" wrapText="1"/>
    </xf>
    <xf numFmtId="18" fontId="0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center" vertical="top" wrapText="1"/>
    </xf>
    <xf numFmtId="0" fontId="8" fillId="3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top" wrapText="1"/>
    </xf>
    <xf numFmtId="49" fontId="15" fillId="0" borderId="0" applyAlignment="1" pivotButton="0" quotePrefix="0" xfId="0">
      <alignment horizontal="left" vertical="top" wrapText="1"/>
    </xf>
    <xf numFmtId="165" fontId="15" fillId="0" borderId="0" applyAlignment="1" pivotButton="0" quotePrefix="0" xfId="0">
      <alignment horizontal="left" vertical="top" wrapText="1"/>
    </xf>
    <xf numFmtId="1" fontId="15" fillId="0" borderId="0" applyAlignment="1" pivotButton="0" quotePrefix="0" xfId="0">
      <alignment horizontal="left" vertical="top" wrapText="1"/>
    </xf>
    <xf numFmtId="166" fontId="15" fillId="0" borderId="0" applyAlignment="1" pivotButton="0" quotePrefix="0" xfId="0">
      <alignment horizontal="left" vertical="top" wrapText="1"/>
    </xf>
    <xf numFmtId="10" fontId="15" fillId="0" borderId="0" applyAlignment="1" pivotButton="0" quotePrefix="0" xfId="0">
      <alignment horizontal="left" vertical="top" wrapText="1"/>
    </xf>
    <xf numFmtId="167" fontId="15" fillId="0" borderId="0" applyAlignment="1" pivotButton="0" quotePrefix="0" xfId="0">
      <alignment horizontal="left" vertical="top" wrapText="1"/>
    </xf>
    <xf numFmtId="18" fontId="15" fillId="0" borderId="0" applyAlignment="1" pivotButton="0" quotePrefix="0" xfId="0">
      <alignment horizontal="left" vertical="top" wrapText="1"/>
    </xf>
    <xf numFmtId="0" fontId="16" fillId="0" borderId="0" applyAlignment="1" pivotButton="0" quotePrefix="0" xfId="0">
      <alignment horizontal="left" vertical="center" wrapText="1"/>
    </xf>
    <xf numFmtId="0" fontId="14" fillId="5" borderId="0" applyAlignment="1" pivotButton="0" quotePrefix="0" xfId="0">
      <alignment horizontal="center" vertical="top" wrapText="1"/>
    </xf>
    <xf numFmtId="0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1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3" fillId="4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top" wrapText="1"/>
    </xf>
    <xf numFmtId="0" fontId="17" fillId="6" borderId="0" applyAlignment="1" pivotButton="0" quotePrefix="0" xfId="0">
      <alignment horizontal="left" vertical="top" wrapText="1"/>
    </xf>
    <xf numFmtId="0" fontId="18" fillId="6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 wrapText="1"/>
    </xf>
    <xf numFmtId="0" fontId="14" fillId="5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49" fontId="13" fillId="4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9" fillId="7" borderId="0" applyAlignment="1" pivotButton="0" quotePrefix="0" xfId="0">
      <alignment horizontal="left" vertical="center" wrapText="1"/>
    </xf>
    <xf numFmtId="10" fontId="20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left" vertical="center" wrapText="1"/>
    </xf>
    <xf numFmtId="0" fontId="14" fillId="5" borderId="0" applyAlignment="1" pivotButton="0" quotePrefix="0" xfId="0">
      <alignment horizontal="center" vertical="center"/>
    </xf>
    <xf numFmtId="10" fontId="14" fillId="5" borderId="0" applyAlignment="1" pivotButton="0" quotePrefix="0" xfId="0">
      <alignment horizontal="center" vertical="center"/>
    </xf>
    <xf numFmtId="10" fontId="20" fillId="7" borderId="0" applyAlignment="1" pivotButton="0" quotePrefix="0" xfId="0">
      <alignment horizontal="center" vertical="center"/>
    </xf>
    <xf numFmtId="0" fontId="21" fillId="8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left" vertical="center"/>
    </xf>
    <xf numFmtId="0" fontId="23" fillId="11" borderId="0" applyAlignment="1" pivotButton="0" quotePrefix="0" xfId="0">
      <alignment horizontal="left" vertical="center"/>
    </xf>
    <xf numFmtId="49" fontId="22" fillId="11" borderId="0" applyAlignment="1" pivotButton="0" quotePrefix="0" xfId="0">
      <alignment horizontal="left" vertical="center"/>
    </xf>
    <xf numFmtId="0" fontId="24" fillId="12" borderId="0" applyAlignment="1" pivotButton="0" quotePrefix="0" xfId="0">
      <alignment horizontal="left" vertical="center" wrapText="1"/>
    </xf>
    <xf numFmtId="10" fontId="22" fillId="11" borderId="0" applyAlignment="1" pivotButton="0" quotePrefix="0" xfId="0">
      <alignment horizontal="left" vertical="center"/>
    </xf>
    <xf numFmtId="1" fontId="22" fillId="11" borderId="0" applyAlignment="1" pivotButton="0" quotePrefix="0" xfId="0">
      <alignment horizontal="left" vertical="center"/>
    </xf>
    <xf numFmtId="166" fontId="22" fillId="11" borderId="0" applyAlignment="1" pivotButton="0" quotePrefix="0" xfId="0">
      <alignment horizontal="left" vertical="center"/>
    </xf>
    <xf numFmtId="168" fontId="22" fillId="1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8" fillId="9" borderId="0" applyAlignment="1" pivotButton="0" quotePrefix="0" xfId="0">
      <alignment horizontal="center" vertical="top" wrapText="1"/>
    </xf>
    <xf numFmtId="49" fontId="0" fillId="0" borderId="0" applyAlignment="1" applyProtection="1" pivotButton="0" quotePrefix="0" xfId="0">
      <alignment horizontal="left" vertical="top" wrapText="1"/>
      <protection locked="0" hidden="0"/>
    </xf>
    <xf numFmtId="0" fontId="7" fillId="0" borderId="0" applyAlignment="1" pivotButton="0" quotePrefix="0" xfId="0">
      <alignment horizontal="left" vertical="center"/>
    </xf>
    <xf numFmtId="165" fontId="0" fillId="0" borderId="0" applyAlignment="1" applyProtection="1" pivotButton="0" quotePrefix="0" xfId="0">
      <alignment horizontal="left" vertical="top" wrapText="1"/>
      <protection locked="0" hidden="0"/>
    </xf>
    <xf numFmtId="1" fontId="0" fillId="0" borderId="0" applyAlignment="1" applyProtection="1" pivotButton="0" quotePrefix="0" xfId="0">
      <alignment horizontal="left" vertical="top" wrapText="1"/>
      <protection locked="0" hidden="0"/>
    </xf>
    <xf numFmtId="166" fontId="0" fillId="0" borderId="0" applyAlignment="1" applyProtection="1" pivotButton="0" quotePrefix="0" xfId="0">
      <alignment horizontal="left" vertical="top" wrapText="1"/>
      <protection locked="0" hidden="0"/>
    </xf>
    <xf numFmtId="10" fontId="0" fillId="0" borderId="0" applyAlignment="1" applyProtection="1" pivotButton="0" quotePrefix="0" xfId="0">
      <alignment horizontal="left" vertical="top" wrapText="1"/>
      <protection locked="0" hidden="0"/>
    </xf>
    <xf numFmtId="167" fontId="0" fillId="0" borderId="0" applyAlignment="1" applyProtection="1" pivotButton="0" quotePrefix="0" xfId="0">
      <alignment horizontal="left" vertical="top" wrapText="1"/>
      <protection locked="0" hidden="0"/>
    </xf>
    <xf numFmtId="18" fontId="0" fillId="0" borderId="0" applyAlignment="1" applyProtection="1" pivotButton="0" quotePrefix="0" xfId="0">
      <alignment horizontal="left" vertical="top" wrapText="1"/>
      <protection locked="0" hidden="0"/>
    </xf>
    <xf numFmtId="0" fontId="8" fillId="5" borderId="0" applyAlignment="1" pivotButton="0" quotePrefix="0" xfId="0">
      <alignment horizontal="center" vertical="top" wrapText="1"/>
    </xf>
    <xf numFmtId="10" fontId="8" fillId="5" borderId="0" applyAlignment="1" pivotButton="0" quotePrefix="0" xfId="0">
      <alignment horizontal="center" vertical="top" wrapText="1"/>
    </xf>
    <xf numFmtId="0" fontId="7" fillId="0" borderId="0" applyAlignment="1" pivotButton="0" quotePrefix="0" xfId="0">
      <alignment horizontal="left" vertical="center"/>
    </xf>
    <xf numFmtId="0" fontId="22" fillId="10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0" fontId="15" fillId="0" borderId="0" applyAlignment="1" applyProtection="1" pivotButton="0" quotePrefix="0" xfId="0">
      <alignment horizontal="left" vertical="top" wrapText="1"/>
      <protection locked="0" hidden="0"/>
    </xf>
    <xf numFmtId="0" fontId="22" fillId="0" borderId="0" applyAlignment="1" applyProtection="1" pivotButton="0" quotePrefix="0" xfId="0">
      <alignment horizontal="left" vertical="center"/>
      <protection locked="0" hidden="0"/>
    </xf>
    <xf numFmtId="0" fontId="24" fillId="0" borderId="0" applyAlignment="1" applyProtection="1" pivotButton="0" quotePrefix="0" xfId="0">
      <alignment horizontal="left" vertical="center" wrapText="1"/>
      <protection locked="0" hidden="0"/>
    </xf>
    <xf numFmtId="10" fontId="22" fillId="0" borderId="0" applyAlignment="1" applyProtection="1" pivotButton="0" quotePrefix="0" xfId="0">
      <alignment horizontal="left" vertical="center"/>
      <protection locked="0" hidden="0"/>
    </xf>
    <xf numFmtId="1" fontId="22" fillId="0" borderId="0" applyAlignment="1" applyProtection="1" pivotButton="0" quotePrefix="0" xfId="0">
      <alignment horizontal="left" vertical="center"/>
      <protection locked="0" hidden="0"/>
    </xf>
    <xf numFmtId="49" fontId="15" fillId="0" borderId="0" applyAlignment="1" applyProtection="1" pivotButton="0" quotePrefix="0" xfId="0">
      <alignment horizontal="left" vertical="top" wrapText="1"/>
      <protection locked="0" hidden="0"/>
    </xf>
    <xf numFmtId="166" fontId="15" fillId="0" borderId="0" applyAlignment="1" applyProtection="1" pivotButton="0" quotePrefix="0" xfId="0">
      <alignment horizontal="left" vertical="top" wrapText="1"/>
      <protection locked="0" hidden="0"/>
    </xf>
    <xf numFmtId="0" fontId="13" fillId="4" borderId="0" applyAlignment="1" applyProtection="1" pivotButton="0" quotePrefix="0" xfId="0">
      <alignment horizontal="left" vertical="center" wrapText="1"/>
      <protection locked="0" hidden="0"/>
    </xf>
    <xf numFmtId="0" fontId="25" fillId="8" borderId="0" applyAlignment="1" pivotButton="0" quotePrefix="0" xfId="0">
      <alignment horizontal="left" vertical="center"/>
    </xf>
    <xf numFmtId="0" fontId="26" fillId="9" borderId="0" applyAlignment="1" pivotButton="0" quotePrefix="0" xfId="0">
      <alignment horizontal="left" vertical="center" wrapText="1"/>
    </xf>
    <xf numFmtId="167" fontId="14" fillId="5" borderId="0" applyAlignment="1" pivotButton="0" quotePrefix="0" xfId="0">
      <alignment horizontal="center" vertical="top" wrapText="1"/>
    </xf>
    <xf numFmtId="49" fontId="14" fillId="5" borderId="0" applyAlignment="1" pivotButton="0" quotePrefix="0" xfId="0">
      <alignment horizontal="center" vertical="top" wrapText="1"/>
    </xf>
    <xf numFmtId="167" fontId="17" fillId="6" borderId="0" applyAlignment="1" applyProtection="1" pivotButton="0" quotePrefix="0" xfId="0">
      <alignment horizontal="left" vertical="top" wrapText="1"/>
      <protection locked="0" hidden="0"/>
    </xf>
    <xf numFmtId="49" fontId="17" fillId="6" borderId="0" applyAlignment="1" applyProtection="1" pivotButton="0" quotePrefix="0" xfId="0">
      <alignment horizontal="left" vertical="top" wrapText="1"/>
      <protection locked="0" hidden="0"/>
    </xf>
    <xf numFmtId="1" fontId="17" fillId="6" borderId="0" applyAlignment="1" applyProtection="1" pivotButton="0" quotePrefix="0" xfId="0">
      <alignment horizontal="left" vertical="top" wrapText="1"/>
      <protection locked="0" hidden="0"/>
    </xf>
    <xf numFmtId="165" fontId="17" fillId="6" borderId="0" applyAlignment="1" applyProtection="1" pivotButton="0" quotePrefix="0" xfId="0">
      <alignment horizontal="left" vertical="top" wrapText="1"/>
      <protection locked="0" hidden="0"/>
    </xf>
    <xf numFmtId="18" fontId="17" fillId="6" borderId="0" applyAlignment="1" applyProtection="1" pivotButton="0" quotePrefix="0" xfId="0">
      <alignment horizontal="left" vertical="top" wrapText="1"/>
      <protection locked="0" hidden="0"/>
    </xf>
    <xf numFmtId="0" fontId="18" fillId="6" borderId="0" applyAlignment="1" applyProtection="1" pivotButton="0" quotePrefix="0" xfId="0">
      <alignment horizontal="left" vertical="top" wrapText="1"/>
      <protection locked="0" hidden="0"/>
    </xf>
    <xf numFmtId="0" fontId="9" fillId="0" borderId="0" applyProtection="1" pivotButton="0" quotePrefix="0" xfId="0">
      <protection locked="0" hidden="0"/>
    </xf>
    <xf numFmtId="0" fontId="17" fillId="6" borderId="0" applyAlignment="1" applyProtection="1" pivotButton="0" quotePrefix="0" xfId="0">
      <alignment horizontal="left" vertical="top" wrapText="1"/>
      <protection locked="0" hidden="0"/>
    </xf>
    <xf numFmtId="0" fontId="27" fillId="0" borderId="0" applyAlignment="1" applyProtection="1" pivotButton="0" quotePrefix="0" xfId="0">
      <alignment horizontal="left" vertical="top" wrapText="1"/>
      <protection locked="0" hidden="0"/>
    </xf>
    <xf numFmtId="166" fontId="29" fillId="0" borderId="0" applyAlignment="1" applyProtection="1" pivotButton="0" quotePrefix="0" xfId="0">
      <alignment horizontal="left" vertical="top" wrapText="1"/>
      <protection locked="0" hidden="0"/>
    </xf>
    <xf numFmtId="0" fontId="28" fillId="0" borderId="0" applyAlignment="1" applyProtection="1" pivotButton="0" quotePrefix="0" xfId="0">
      <alignment horizontal="left" vertical="top" wrapText="1"/>
      <protection locked="0" hidden="0"/>
    </xf>
    <xf numFmtId="167" fontId="27" fillId="0" borderId="0" applyAlignment="1" applyProtection="1" pivotButton="0" quotePrefix="0" xfId="0">
      <alignment horizontal="left" vertical="top" wrapText="1"/>
      <protection locked="0" hidden="0"/>
    </xf>
    <xf numFmtId="49" fontId="27" fillId="0" borderId="0" applyAlignment="1" applyProtection="1" pivotButton="0" quotePrefix="0" xfId="0">
      <alignment horizontal="left" vertical="top" wrapText="1"/>
      <protection locked="0" hidden="0"/>
    </xf>
    <xf numFmtId="1" fontId="27" fillId="0" borderId="0" applyAlignment="1" applyProtection="1" pivotButton="0" quotePrefix="0" xfId="0">
      <alignment horizontal="left" vertical="top" wrapText="1"/>
      <protection locked="0" hidden="0"/>
    </xf>
    <xf numFmtId="165" fontId="27" fillId="0" borderId="0" applyAlignment="1" applyProtection="1" pivotButton="0" quotePrefix="0" xfId="0">
      <alignment horizontal="left" vertical="top" wrapText="1"/>
      <protection locked="0" hidden="0"/>
    </xf>
    <xf numFmtId="18" fontId="27" fillId="0" borderId="0" applyAlignment="1" applyProtection="1" pivotButton="0" quotePrefix="0" xfId="0">
      <alignment horizontal="left" vertical="top" wrapText="1"/>
      <protection locked="0" hidden="0"/>
    </xf>
    <xf numFmtId="1" fontId="29" fillId="0" borderId="0" applyAlignment="1" applyProtection="1" pivotButton="0" quotePrefix="0" xfId="0">
      <alignment horizontal="left" vertical="top" wrapText="1"/>
      <protection locked="0" hidden="0"/>
    </xf>
    <xf numFmtId="0" fontId="17" fillId="0" borderId="0" applyAlignment="1" applyProtection="1" pivotButton="0" quotePrefix="0" xfId="0">
      <alignment horizontal="left" vertical="top" wrapText="1"/>
      <protection locked="0" hidden="0"/>
    </xf>
    <xf numFmtId="49" fontId="17" fillId="0" borderId="0" applyAlignment="1" applyProtection="1" pivotButton="0" quotePrefix="0" xfId="0">
      <alignment horizontal="left" vertical="top" wrapText="1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style="11" min="1" max="1"/>
    <col width="36" customWidth="1" style="11" min="2" max="2"/>
    <col width="55" customWidth="1" style="11" min="3" max="3"/>
  </cols>
  <sheetData>
    <row r="1" ht="18" customHeight="1" s="11">
      <c r="A1" s="54" t="inlineStr">
        <is>
          <t>⚙  SETTINGS — Business Constants &amp; Company Information</t>
        </is>
      </c>
    </row>
    <row r="2" ht="52" customHeight="1" s="11">
      <c r="A2" s="66" t="inlineStr">
        <is>
          <t>Setting</t>
        </is>
      </c>
      <c r="B2" s="66" t="inlineStr">
        <is>
          <t>Value</t>
        </is>
      </c>
      <c r="C2" s="66" t="inlineStr">
        <is>
          <t>Notes</t>
        </is>
      </c>
    </row>
    <row r="3" ht="18" customHeight="1" s="11">
      <c r="A3" s="78" t="inlineStr">
        <is>
          <t>COMPANY INFORMATION</t>
        </is>
      </c>
      <c r="B3" s="79" t="n"/>
      <c r="C3" s="79" t="n"/>
    </row>
    <row r="4" ht="20" customHeight="1" s="11">
      <c r="A4" s="80" t="inlineStr">
        <is>
          <t>Business Name</t>
        </is>
      </c>
      <c r="B4" s="81" t="inlineStr">
        <is>
          <t>Florida Cleaning Services</t>
        </is>
      </c>
      <c r="C4" s="82" t="inlineStr">
        <is>
          <t>Appears on invoices and email headers</t>
        </is>
      </c>
    </row>
    <row r="5" ht="20" customHeight="1" s="11">
      <c r="A5" s="80" t="inlineStr">
        <is>
          <t>Owner Name</t>
        </is>
      </c>
      <c r="B5" s="81" t="inlineStr">
        <is>
          <t>Your Name</t>
        </is>
      </c>
      <c r="C5" s="82" t="inlineStr">
        <is>
          <t>Used in email signatures</t>
        </is>
      </c>
    </row>
    <row r="6" ht="20" customHeight="1" s="11">
      <c r="A6" s="80" t="inlineStr">
        <is>
          <t>Business Phone</t>
        </is>
      </c>
      <c r="B6" s="81" t="inlineStr">
        <is>
          <t>(386) 555-0100</t>
        </is>
      </c>
      <c r="C6" s="82" t="inlineStr">
        <is>
          <t>Displayed on invoices; used as SMS sender ID</t>
        </is>
      </c>
    </row>
    <row r="7" ht="20" customHeight="1" s="11">
      <c r="A7" s="80" t="inlineStr">
        <is>
          <t>Business Email</t>
        </is>
      </c>
      <c r="B7" s="81" t="inlineStr">
        <is>
          <t>info@floridacleaning.com</t>
        </is>
      </c>
      <c r="C7" s="82" t="inlineStr">
        <is>
          <t>From address for invoice and receipt emails</t>
        </is>
      </c>
    </row>
    <row r="8" ht="20" customHeight="1" s="11">
      <c r="A8" s="80" t="inlineStr">
        <is>
          <t>Business Address</t>
        </is>
      </c>
      <c r="B8" s="81" t="inlineStr">
        <is>
          <t>100 Main St, Daytona Beach FL 32118</t>
        </is>
      </c>
      <c r="C8" s="82" t="inlineStr">
        <is>
          <t>Printed on invoices and quotes</t>
        </is>
      </c>
    </row>
    <row r="9" ht="20" customHeight="1" s="11">
      <c r="A9" s="80" t="inlineStr">
        <is>
          <t>Website</t>
        </is>
      </c>
      <c r="B9" s="81" t="inlineStr">
        <is>
          <t>www.floridacleaning.com</t>
        </is>
      </c>
      <c r="C9" s="82" t="inlineStr">
        <is>
          <t>Optional — printed on invoices if filled in</t>
        </is>
      </c>
    </row>
    <row r="10" ht="20" customHeight="1" s="11">
      <c r="A10" s="80" t="inlineStr">
        <is>
          <t>License / LLC Number</t>
        </is>
      </c>
      <c r="B10" s="81" t="inlineStr"/>
      <c r="C10" s="82" t="inlineStr">
        <is>
          <t>Optional — printed on invoices for commercial customers</t>
        </is>
      </c>
    </row>
    <row r="11" ht="18" customHeight="1" s="11">
      <c r="A11" s="78" t="inlineStr">
        <is>
          <t>TAX &amp; FEES</t>
        </is>
      </c>
      <c r="B11" s="79" t="n"/>
      <c r="C11" s="79" t="n"/>
    </row>
    <row r="12" ht="20" customHeight="1" s="11">
      <c r="A12" s="80" t="inlineStr">
        <is>
          <t>Tax Rate</t>
        </is>
      </c>
      <c r="B12" s="83" t="n">
        <v>0.07000000000000001</v>
      </c>
      <c r="C12" s="82" t="inlineStr">
        <is>
          <t>Florida sales tax default 7%. All tax formulas in Jobs_Schedule, Invoices and Quotes reference this cell.</t>
        </is>
      </c>
    </row>
    <row r="13" ht="20" customHeight="1" s="11">
      <c r="A13" s="80" t="inlineStr">
        <is>
          <t>Late Fee Rate (monthly)</t>
        </is>
      </c>
      <c r="B13" s="83" t="n">
        <v>0.015</v>
      </c>
      <c r="C13" s="82" t="inlineStr">
        <is>
          <t>Monthly late fee applied to overdue invoices (1.5% = standard)</t>
        </is>
      </c>
    </row>
    <row r="14" ht="20" customHeight="1" s="11">
      <c r="A14" s="80" t="inlineStr">
        <is>
          <t>Default Discount %</t>
        </is>
      </c>
      <c r="B14" s="83" t="n">
        <v>0</v>
      </c>
      <c r="C14" s="82" t="inlineStr">
        <is>
          <t>Default discount offered to new customers (0 = no discount)</t>
        </is>
      </c>
    </row>
    <row r="15" ht="18" customHeight="1" s="11">
      <c r="A15" s="78" t="inlineStr">
        <is>
          <t>PAYMENT TERMS</t>
        </is>
      </c>
      <c r="B15" s="79" t="n"/>
      <c r="C15" s="79" t="n"/>
    </row>
    <row r="16" ht="20" customHeight="1" s="11">
      <c r="A16" s="80" t="inlineStr">
        <is>
          <t>Default Net Terms (days)</t>
        </is>
      </c>
      <c r="B16" s="84" t="n">
        <v>30</v>
      </c>
      <c r="C16" s="82" t="inlineStr">
        <is>
          <t>Number of days until invoice is due (Net 30 is standard)</t>
        </is>
      </c>
    </row>
    <row r="17" ht="20" customHeight="1" s="11">
      <c r="A17" s="80" t="inlineStr">
        <is>
          <t>Accepted Payment Methods</t>
        </is>
      </c>
      <c r="B17" s="81" t="inlineStr">
        <is>
          <t>Cash, Check, Credit Card, Zelle</t>
        </is>
      </c>
      <c r="C17" s="82" t="inlineStr">
        <is>
          <t>Shown on invoices; separate with commas</t>
        </is>
      </c>
    </row>
    <row r="18" ht="18" customHeight="1" s="11">
      <c r="A18" s="78" t="inlineStr">
        <is>
          <t>SERVICE DEFAULTS</t>
        </is>
      </c>
      <c r="B18" s="79" t="n"/>
      <c r="C18" s="79" t="n"/>
    </row>
    <row r="19" ht="20" customHeight="1" s="11">
      <c r="A19" s="80" t="inlineStr">
        <is>
          <t>Default Service Duration (min)</t>
        </is>
      </c>
      <c r="B19" s="84" t="n">
        <v>60</v>
      </c>
      <c r="C19" s="82" t="inlineStr">
        <is>
          <t>Pre-fills Est. Duration when creating a new job</t>
        </is>
      </c>
    </row>
    <row r="20" ht="20" customHeight="1" s="11">
      <c r="A20" s="80" t="inlineStr">
        <is>
          <t>Default Start Time</t>
        </is>
      </c>
      <c r="B20" s="81" t="inlineStr">
        <is>
          <t>08:00</t>
        </is>
      </c>
      <c r="C20" s="82" t="inlineStr">
        <is>
          <t>Pre-fills Start Time on new jobs (HH:MM 24-hour)</t>
        </is>
      </c>
    </row>
    <row r="21" ht="20" customHeight="1" s="11">
      <c r="A21" s="80" t="inlineStr">
        <is>
          <t>Crew Labor Rate ($/hr)</t>
        </is>
      </c>
      <c r="B21" s="81" t="n">
        <v>25</v>
      </c>
      <c r="C21" s="82" t="inlineStr">
        <is>
          <t>Used for internal cost tracking in TimeLog reports</t>
        </is>
      </c>
    </row>
    <row r="22" ht="20" customHeight="1" s="11">
      <c r="A22" s="80" t="inlineStr">
        <is>
          <t>Mileage Rate ($/mi)</t>
        </is>
      </c>
      <c r="B22" s="83" t="n">
        <v>0.67</v>
      </c>
      <c r="C22" s="82" t="inlineStr">
        <is>
          <t>IRS standard mileage rate — used for Route_Planner cost estimates</t>
        </is>
      </c>
    </row>
    <row r="23" ht="18" customHeight="1" s="11">
      <c r="A23" s="78" t="inlineStr">
        <is>
          <t>ROUTE &amp; SCHEDULING</t>
        </is>
      </c>
      <c r="B23" s="79" t="n"/>
      <c r="C23" s="79" t="n"/>
    </row>
    <row r="24" ht="20" customHeight="1" s="11">
      <c r="A24" s="80" t="inlineStr">
        <is>
          <t>Depot / Start Address</t>
        </is>
      </c>
      <c r="B24" s="81" t="inlineStr">
        <is>
          <t>100 Main St, Daytona Beach FL 32118</t>
        </is>
      </c>
      <c r="C24" s="82" t="inlineStr">
        <is>
          <t>Starting point for route optimization</t>
        </is>
      </c>
    </row>
    <row r="25" ht="20" customHeight="1" s="11">
      <c r="A25" s="80" t="inlineStr">
        <is>
          <t>Default Route Day</t>
        </is>
      </c>
      <c r="B25" s="81" t="inlineStr">
        <is>
          <t>Monday</t>
        </is>
      </c>
      <c r="C25" s="82" t="inlineStr">
        <is>
          <t>Pre-fills preferred route day in Route_Planner</t>
        </is>
      </c>
    </row>
    <row r="26" ht="20" customHeight="1" s="11">
      <c r="A26" s="80" t="inlineStr">
        <is>
          <t>Max Stops Per Route</t>
        </is>
      </c>
      <c r="B26" s="84" t="n">
        <v>8</v>
      </c>
      <c r="C26" s="82" t="inlineStr">
        <is>
          <t>AI-Prowler will warn if a route exceeds this number of stops</t>
        </is>
      </c>
    </row>
    <row r="27" ht="18" customHeight="1" s="11">
      <c r="A27" s="78" t="inlineStr">
        <is>
          <t>NOTIFICATIONS &amp; REMINDERS</t>
        </is>
      </c>
      <c r="B27" s="79" t="n"/>
      <c r="C27" s="79" t="n"/>
    </row>
    <row r="28" ht="20" customHeight="1" s="11">
      <c r="A28" s="80" t="inlineStr">
        <is>
          <t>Invoice Reminder Days Before Due</t>
        </is>
      </c>
      <c r="B28" s="84" t="n">
        <v>3</v>
      </c>
      <c r="C28" s="82" t="inlineStr">
        <is>
          <t>AI-Prowler sends payment reminder this many days before due date</t>
        </is>
      </c>
    </row>
    <row r="29" ht="20" customHeight="1" s="11">
      <c r="A29" s="80" t="inlineStr">
        <is>
          <t>Overdue Follow-Up Interval (days)</t>
        </is>
      </c>
      <c r="B29" s="84" t="n">
        <v>7</v>
      </c>
      <c r="C29" s="82" t="inlineStr">
        <is>
          <t>How often to follow up on overdue invoices</t>
        </is>
      </c>
    </row>
    <row r="30" ht="20" customHeight="1" s="11">
      <c r="A30" s="80" t="inlineStr">
        <is>
          <t>Review Request Delay (days)</t>
        </is>
      </c>
      <c r="B30" s="84" t="n">
        <v>1</v>
      </c>
      <c r="C30" s="82" t="inlineStr">
        <is>
          <t>Days after job completion to send a Google review request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7">
    <mergeCell ref="A11:C11"/>
    <mergeCell ref="A1:C1"/>
    <mergeCell ref="A23:C23"/>
    <mergeCell ref="A18:C18"/>
    <mergeCell ref="A27:C27"/>
    <mergeCell ref="A3:C3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500"/>
  <sheetViews>
    <sheetView tabSelected="1" topLeftCell="K1" workbookViewId="0">
      <pane ySplit="2" topLeftCell="A3" activePane="bottomLeft" state="frozen"/>
      <selection pane="bottomLeft" activeCell="Y8" sqref="Y8"/>
    </sheetView>
  </sheetViews>
  <sheetFormatPr baseColWidth="8" defaultRowHeight="14.5"/>
  <cols>
    <col width="13" customWidth="1" style="11" min="1" max="1"/>
    <col width="12" customWidth="1" style="11" min="2" max="2"/>
    <col width="18" customWidth="1" style="11" min="3" max="5"/>
    <col width="10" customWidth="1" style="11" min="4" max="4"/>
    <col width="10" customWidth="1" style="11" min="5" max="5"/>
    <col width="14" customWidth="1" style="11" min="6" max="6"/>
    <col width="24" customWidth="1" style="11" min="7" max="7"/>
    <col width="18" customWidth="1" style="11" min="8" max="8"/>
    <col width="16" customWidth="1" style="11" min="9" max="9"/>
    <col width="6" customWidth="1" style="11" min="10" max="10"/>
    <col width="10" customWidth="1" style="11" min="11" max="11"/>
    <col width="12" customWidth="1" style="11" min="12" max="13"/>
    <col width="11" customWidth="1" style="11" min="13" max="13"/>
    <col width="11" customWidth="1" style="11" min="14" max="17"/>
    <col width="11" customWidth="1" style="11" min="15" max="15"/>
    <col width="11" customWidth="1" style="11" min="16" max="16"/>
    <col width="10" customWidth="1" style="11" min="17" max="17"/>
    <col width="10" customWidth="1" style="11" min="18" max="21"/>
    <col width="10" customWidth="1" style="11" min="19" max="19"/>
    <col width="10" customWidth="1" style="11" min="20" max="20"/>
    <col width="10" customWidth="1" style="11" min="21" max="21"/>
    <col width="12" customWidth="1" style="11" min="22" max="23"/>
    <col width="10" customWidth="1" style="11" min="23" max="23"/>
    <col width="10" customWidth="1" style="11" min="24" max="25"/>
    <col width="10" customWidth="1" style="11" min="25" max="25"/>
    <col width="20" customWidth="1" style="11" min="26" max="26"/>
    <col width="16" customWidth="1" style="11" min="27" max="27"/>
    <col width="12" customWidth="1" style="11" min="28" max="28"/>
  </cols>
  <sheetData>
    <row r="1" ht="18" customHeight="1" s="11">
      <c r="A1" s="77" t="inlineStr">
        <is>
          <t>🪟  AI-PROWLER JOB TRACKER — Customer Master List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  <c r="T1" s="77" t="n"/>
      <c r="U1" s="77" t="n"/>
      <c r="V1" s="77" t="n"/>
      <c r="W1" s="77" t="n"/>
      <c r="X1" s="77" t="n"/>
      <c r="Y1" s="77" t="n"/>
      <c r="Z1" s="77" t="n"/>
      <c r="AA1" s="77" t="n"/>
      <c r="AB1" s="77" t="n"/>
      <c r="AC1" s="77" t="n"/>
    </row>
    <row r="2" ht="52" customHeight="1" s="11">
      <c r="A2" s="13" t="inlineStr">
        <is>
          <t>CustomerID
(CUST-####)</t>
        </is>
      </c>
      <c r="B2" s="13" t="inlineStr">
        <is>
          <t>Customer
Type
Comm/Res</t>
        </is>
      </c>
      <c r="C2" s="13" t="inlineStr">
        <is>
          <t>Company
Name</t>
        </is>
      </c>
      <c r="D2" s="13" t="inlineStr">
        <is>
          <t>First
Name</t>
        </is>
      </c>
      <c r="E2" s="13" t="inlineStr">
        <is>
          <t>Last
Name</t>
        </is>
      </c>
      <c r="F2" s="13" t="inlineStr">
        <is>
          <t>Phone</t>
        </is>
      </c>
      <c r="G2" s="13" t="inlineStr">
        <is>
          <t>Email</t>
        </is>
      </c>
      <c r="H2" s="13" t="inlineStr">
        <is>
          <t>Street
Address
★ AI Route</t>
        </is>
      </c>
      <c r="I2" s="13" t="inlineStr">
        <is>
          <t>City
★ AI Route</t>
        </is>
      </c>
      <c r="J2" s="13" t="inlineStr">
        <is>
          <t>State</t>
        </is>
      </c>
      <c r="K2" s="13" t="inlineStr">
        <is>
          <t>ZIP
★ AI Route</t>
        </is>
      </c>
      <c r="L2" s="13" t="inlineStr">
        <is>
          <t>Latitude
(AI Geocode)</t>
        </is>
      </c>
      <c r="M2" s="13" t="inlineStr">
        <is>
          <t>Longitude
(AI Geocode)</t>
        </is>
      </c>
      <c r="N2" s="13" t="inlineStr">
        <is>
          <t>Service
Type(s)
Win/Press/Both</t>
        </is>
      </c>
      <c r="O2" s="13" t="inlineStr">
        <is>
          <t>Frequency</t>
        </is>
      </c>
      <c r="P2" s="13" t="inlineStr">
        <is>
          <t>Preferred
Day(s)</t>
        </is>
      </c>
      <c r="Q2" s="13" t="inlineStr">
        <is>
          <t>Pref. Time
Window</t>
        </is>
      </c>
      <c r="R2" s="13" t="inlineStr">
        <is>
          <t>Avg Job
Duration
(min)</t>
        </is>
      </c>
      <c r="S2" s="13" t="inlineStr">
        <is>
          <t>Standard
Quote ($)</t>
        </is>
      </c>
      <c r="T2" s="13" t="inlineStr">
        <is>
          <t>Discount
(%)</t>
        </is>
      </c>
      <c r="U2" s="13" t="inlineStr">
        <is>
          <t>Net
Price ($)</t>
        </is>
      </c>
      <c r="V2" s="13" t="inlineStr">
        <is>
          <t>Last Service
Date</t>
        </is>
      </c>
      <c r="W2" s="13" t="inlineStr">
        <is>
          <t>Next Sched.
Date</t>
        </is>
      </c>
      <c r="X2" s="13" t="inlineStr">
        <is>
          <t>Total Jobs
Completed</t>
        </is>
      </c>
      <c r="Y2" s="13" t="inlineStr">
        <is>
          <t>Lifetime
Revenue ($)</t>
        </is>
      </c>
      <c r="Z2" s="13" t="inlineStr">
        <is>
          <t>Gate Code /
Access Notes</t>
        </is>
      </c>
      <c r="AA2" s="13" t="inlineStr">
        <is>
          <t>On-Site
Contact</t>
        </is>
      </c>
      <c r="AB2" s="13" t="inlineStr">
        <is>
          <t>Status
Active/Inactive</t>
        </is>
      </c>
    </row>
    <row r="3" s="11">
      <c r="A3" s="100" t="inlineStr">
        <is>
          <t>CUST-0001</t>
        </is>
      </c>
      <c r="B3" s="100" t="inlineStr">
        <is>
          <t>Res</t>
        </is>
      </c>
      <c r="C3" s="100" t="inlineStr"/>
      <c r="D3" s="100" t="inlineStr">
        <is>
          <t>Maria</t>
        </is>
      </c>
      <c r="E3" s="100" t="inlineStr">
        <is>
          <t>Gonzalez</t>
        </is>
      </c>
      <c r="F3" s="100" t="inlineStr">
        <is>
          <t>(386) 555-0142</t>
        </is>
      </c>
      <c r="G3" s="100" t="inlineStr">
        <is>
          <t>m.gonzalez@email.com</t>
        </is>
      </c>
      <c r="H3" s="100" t="inlineStr">
        <is>
          <t>412 Pelican Dr</t>
        </is>
      </c>
      <c r="I3" s="100" t="inlineStr">
        <is>
          <t>Daytona Beach</t>
        </is>
      </c>
      <c r="J3" s="100" t="inlineStr">
        <is>
          <t>FL</t>
        </is>
      </c>
      <c r="K3" s="100" t="inlineStr">
        <is>
          <t>32118</t>
        </is>
      </c>
      <c r="L3" s="100" t="inlineStr">
        <is>
          <t>29.210300</t>
        </is>
      </c>
      <c r="M3" s="100" t="inlineStr">
        <is>
          <t>-81.022700</t>
        </is>
      </c>
      <c r="N3" s="100" t="inlineStr">
        <is>
          <t>Window</t>
        </is>
      </c>
      <c r="O3" s="100" t="inlineStr">
        <is>
          <t>Monthly</t>
        </is>
      </c>
      <c r="P3" s="100" t="inlineStr">
        <is>
          <t>Friday</t>
        </is>
      </c>
      <c r="Q3" s="100" t="inlineStr">
        <is>
          <t>8am-11am</t>
        </is>
      </c>
      <c r="R3" s="100" t="inlineStr">
        <is>
          <t>60</t>
        </is>
      </c>
      <c r="S3" s="100" t="inlineStr">
        <is>
          <t>125.00</t>
        </is>
      </c>
      <c r="T3" s="100" t="inlineStr">
        <is>
          <t>0.05</t>
        </is>
      </c>
      <c r="U3" s="101">
        <f>S3*(1-T3)</f>
        <v/>
      </c>
      <c r="V3" s="100" t="inlineStr">
        <is>
          <t>08/25/2026</t>
        </is>
      </c>
      <c r="W3" s="100" t="inlineStr">
        <is>
          <t>09/25/2026</t>
        </is>
      </c>
      <c r="X3" s="100" t="inlineStr">
        <is>
          <t>1</t>
        </is>
      </c>
      <c r="Y3" s="101">
        <f>X3*U3</f>
        <v/>
      </c>
      <c r="Z3" s="100" t="inlineStr">
        <is>
          <t>Side gate, latch from inside</t>
        </is>
      </c>
      <c r="AA3" s="100" t="inlineStr">
        <is>
          <t>Maria (owner)</t>
        </is>
      </c>
      <c r="AB3" s="100" t="inlineStr">
        <is>
          <t>Active</t>
        </is>
      </c>
      <c r="AC3" s="102" t="n"/>
    </row>
    <row r="4" s="11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7" t="n"/>
      <c r="K4" s="67" t="n"/>
      <c r="L4" s="69" t="n"/>
      <c r="M4" s="69" t="n"/>
      <c r="N4" s="67" t="n"/>
      <c r="O4" s="67" t="n"/>
      <c r="P4" s="67" t="n"/>
      <c r="Q4" s="67" t="n"/>
      <c r="R4" s="70" t="n"/>
      <c r="S4" s="71" t="n"/>
      <c r="T4" s="72" t="n"/>
      <c r="U4" s="71">
        <f>S4*(1-T4)</f>
        <v/>
      </c>
      <c r="V4" s="73" t="n"/>
      <c r="W4" s="73" t="n"/>
      <c r="X4" s="71" t="n"/>
      <c r="Y4" s="71">
        <f>X4*U4</f>
        <v/>
      </c>
      <c r="Z4" s="67" t="n"/>
      <c r="AA4" s="67" t="n"/>
      <c r="AB4" s="67" t="n"/>
      <c r="AC4" s="67" t="n"/>
    </row>
    <row r="5" s="11">
      <c r="U5" s="71">
        <f>S5*(1-T5)</f>
        <v/>
      </c>
      <c r="Y5" s="71">
        <f>X5*U5</f>
        <v/>
      </c>
    </row>
    <row r="6" s="11">
      <c r="U6" s="71">
        <f>S6*(1-T6)</f>
        <v/>
      </c>
      <c r="Y6" s="71">
        <f>X6*U6</f>
        <v/>
      </c>
    </row>
    <row r="7" s="11">
      <c r="U7" s="71">
        <f>S7*(1-T7)</f>
        <v/>
      </c>
      <c r="Y7" s="71">
        <f>X7*U7</f>
        <v/>
      </c>
    </row>
    <row r="8" customFormat="1" s="9">
      <c r="U8" s="71">
        <f>S8*(1-T8)</f>
        <v/>
      </c>
      <c r="Y8" s="71">
        <f>X8*U8</f>
        <v/>
      </c>
    </row>
    <row r="9" customFormat="1" s="9">
      <c r="U9" s="71">
        <f>S9*(1-T9)</f>
        <v/>
      </c>
      <c r="Y9" s="71">
        <f>X9*U9</f>
        <v/>
      </c>
    </row>
    <row r="10" customFormat="1" s="9">
      <c r="U10" s="71">
        <f>S10*(1-T10)</f>
        <v/>
      </c>
      <c r="Y10" s="71">
        <f>X10*U10</f>
        <v/>
      </c>
    </row>
    <row r="11" customFormat="1" s="9">
      <c r="U11" s="71">
        <f>S11*(1-T11)</f>
        <v/>
      </c>
      <c r="Y11" s="71">
        <f>X11*U11</f>
        <v/>
      </c>
    </row>
    <row r="12" customFormat="1" s="9">
      <c r="U12" s="71">
        <f>S12*(1-T12)</f>
        <v/>
      </c>
      <c r="Y12" s="71">
        <f>X12*U12</f>
        <v/>
      </c>
    </row>
    <row r="13" customFormat="1" s="9">
      <c r="U13" s="71">
        <f>S13*(1-T13)</f>
        <v/>
      </c>
      <c r="Y13" s="71">
        <f>X13*U13</f>
        <v/>
      </c>
    </row>
    <row r="14" customFormat="1" s="9">
      <c r="U14" s="71">
        <f>S14*(1-T14)</f>
        <v/>
      </c>
      <c r="Y14" s="71">
        <f>X14*U14</f>
        <v/>
      </c>
    </row>
    <row r="15" customFormat="1" s="9">
      <c r="U15" s="71">
        <f>S15*(1-T15)</f>
        <v/>
      </c>
      <c r="Y15" s="71">
        <f>X15*U15</f>
        <v/>
      </c>
    </row>
    <row r="16" customFormat="1" s="9">
      <c r="U16" s="71">
        <f>S16*(1-T16)</f>
        <v/>
      </c>
      <c r="Y16" s="71">
        <f>X16*U16</f>
        <v/>
      </c>
    </row>
    <row r="17" customFormat="1" s="9">
      <c r="U17" s="71">
        <f>S17*(1-T17)</f>
        <v/>
      </c>
      <c r="Y17" s="71">
        <f>X17*U17</f>
        <v/>
      </c>
    </row>
    <row r="18" customFormat="1" s="9">
      <c r="U18" s="71">
        <f>S18*(1-T18)</f>
        <v/>
      </c>
      <c r="Y18" s="71">
        <f>X18*U18</f>
        <v/>
      </c>
    </row>
    <row r="19" customFormat="1" s="9">
      <c r="U19" s="71">
        <f>S19*(1-T19)</f>
        <v/>
      </c>
      <c r="Y19" s="71">
        <f>X19*U19</f>
        <v/>
      </c>
    </row>
    <row r="20" customFormat="1" s="9">
      <c r="U20" s="71">
        <f>S20*(1-T20)</f>
        <v/>
      </c>
      <c r="Y20" s="71">
        <f>X20*U20</f>
        <v/>
      </c>
    </row>
    <row r="21" customFormat="1" s="9">
      <c r="U21" s="71">
        <f>S21*(1-T21)</f>
        <v/>
      </c>
      <c r="Y21" s="71">
        <f>X21*U21</f>
        <v/>
      </c>
    </row>
    <row r="22" customFormat="1" s="9">
      <c r="U22" s="71">
        <f>S22*(1-T22)</f>
        <v/>
      </c>
      <c r="Y22" s="71">
        <f>X22*U22</f>
        <v/>
      </c>
    </row>
    <row r="23" customFormat="1" s="9">
      <c r="U23" s="71">
        <f>S23*(1-T23)</f>
        <v/>
      </c>
      <c r="Y23" s="71">
        <f>X23*U23</f>
        <v/>
      </c>
    </row>
    <row r="24" customFormat="1" s="9">
      <c r="U24" s="71">
        <f>S24*(1-T24)</f>
        <v/>
      </c>
      <c r="Y24" s="71">
        <f>X24*U24</f>
        <v/>
      </c>
    </row>
    <row r="25" customFormat="1" s="9">
      <c r="U25" s="71">
        <f>S25*(1-T25)</f>
        <v/>
      </c>
      <c r="Y25" s="71">
        <f>X25*U25</f>
        <v/>
      </c>
    </row>
    <row r="26" customFormat="1" s="9">
      <c r="U26" s="71">
        <f>S26*(1-T26)</f>
        <v/>
      </c>
      <c r="Y26" s="71">
        <f>X26*U26</f>
        <v/>
      </c>
    </row>
    <row r="27" customFormat="1" s="9">
      <c r="U27" s="71">
        <f>S27*(1-T27)</f>
        <v/>
      </c>
      <c r="Y27" s="71">
        <f>X27*U27</f>
        <v/>
      </c>
    </row>
    <row r="28" customFormat="1" s="9">
      <c r="U28" s="71">
        <f>S28*(1-T28)</f>
        <v/>
      </c>
      <c r="Y28" s="71">
        <f>X28*U28</f>
        <v/>
      </c>
    </row>
    <row r="29" customFormat="1" s="9">
      <c r="U29" s="71">
        <f>S29*(1-T29)</f>
        <v/>
      </c>
      <c r="Y29" s="71">
        <f>X29*U29</f>
        <v/>
      </c>
    </row>
    <row r="30" customFormat="1" s="9">
      <c r="U30" s="71">
        <f>S30*(1-T30)</f>
        <v/>
      </c>
      <c r="Y30" s="71">
        <f>X30*U30</f>
        <v/>
      </c>
    </row>
    <row r="31" customFormat="1" s="9">
      <c r="U31" s="71">
        <f>S31*(1-T31)</f>
        <v/>
      </c>
      <c r="Y31" s="71">
        <f>X31*U31</f>
        <v/>
      </c>
    </row>
    <row r="32" customFormat="1" s="9">
      <c r="U32" s="71">
        <f>S32*(1-T32)</f>
        <v/>
      </c>
      <c r="Y32" s="71">
        <f>X32*U32</f>
        <v/>
      </c>
    </row>
    <row r="33" customFormat="1" s="9">
      <c r="U33" s="71">
        <f>S33*(1-T33)</f>
        <v/>
      </c>
      <c r="Y33" s="71">
        <f>X33*U33</f>
        <v/>
      </c>
    </row>
    <row r="34" customFormat="1" s="9">
      <c r="U34" s="71">
        <f>S34*(1-T34)</f>
        <v/>
      </c>
      <c r="Y34" s="71">
        <f>X34*U34</f>
        <v/>
      </c>
    </row>
    <row r="35" customFormat="1" s="9">
      <c r="U35" s="71">
        <f>S35*(1-T35)</f>
        <v/>
      </c>
      <c r="Y35" s="71">
        <f>X35*U35</f>
        <v/>
      </c>
    </row>
    <row r="36" customFormat="1" s="9">
      <c r="U36" s="71">
        <f>S36*(1-T36)</f>
        <v/>
      </c>
      <c r="Y36" s="71">
        <f>X36*U36</f>
        <v/>
      </c>
    </row>
    <row r="37" customFormat="1" s="9">
      <c r="U37" s="71">
        <f>S37*(1-T37)</f>
        <v/>
      </c>
      <c r="Y37" s="71">
        <f>X37*U37</f>
        <v/>
      </c>
    </row>
    <row r="38" s="11">
      <c r="U38" s="71">
        <f>S38*(1-T38)</f>
        <v/>
      </c>
      <c r="Y38" s="71">
        <f>X38*U38</f>
        <v/>
      </c>
    </row>
    <row r="39" s="11">
      <c r="U39" s="71">
        <f>S39*(1-T39)</f>
        <v/>
      </c>
      <c r="Y39" s="71">
        <f>X39*U39</f>
        <v/>
      </c>
    </row>
    <row r="40" s="11">
      <c r="U40" s="71">
        <f>S40*(1-T40)</f>
        <v/>
      </c>
      <c r="Y40" s="71">
        <f>X40*U40</f>
        <v/>
      </c>
    </row>
    <row r="41" s="11">
      <c r="U41" s="71">
        <f>S41*(1-T41)</f>
        <v/>
      </c>
      <c r="Y41" s="71">
        <f>X41*U41</f>
        <v/>
      </c>
    </row>
    <row r="42" s="11">
      <c r="U42" s="71">
        <f>S42*(1-T42)</f>
        <v/>
      </c>
      <c r="Y42" s="71">
        <f>X42*U42</f>
        <v/>
      </c>
    </row>
    <row r="43" s="11">
      <c r="U43" s="71">
        <f>S43*(1-T43)</f>
        <v/>
      </c>
      <c r="Y43" s="71">
        <f>X43*U43</f>
        <v/>
      </c>
    </row>
    <row r="44" s="11">
      <c r="U44" s="71">
        <f>S44*(1-T44)</f>
        <v/>
      </c>
      <c r="Y44" s="71">
        <f>X44*U44</f>
        <v/>
      </c>
    </row>
    <row r="45" s="11">
      <c r="U45" s="71">
        <f>S45*(1-T45)</f>
        <v/>
      </c>
      <c r="Y45" s="71">
        <f>X45*U45</f>
        <v/>
      </c>
    </row>
    <row r="46" s="11">
      <c r="U46" s="71">
        <f>S46*(1-T46)</f>
        <v/>
      </c>
      <c r="Y46" s="71">
        <f>X46*U46</f>
        <v/>
      </c>
    </row>
    <row r="47" s="11">
      <c r="U47" s="71">
        <f>S47*(1-T47)</f>
        <v/>
      </c>
      <c r="Y47" s="71">
        <f>X47*U47</f>
        <v/>
      </c>
    </row>
    <row r="48" s="11">
      <c r="U48" s="71">
        <f>S48*(1-T48)</f>
        <v/>
      </c>
      <c r="Y48" s="71">
        <f>X48*U48</f>
        <v/>
      </c>
    </row>
    <row r="49" s="11">
      <c r="U49" s="71">
        <f>S49*(1-T49)</f>
        <v/>
      </c>
      <c r="Y49" s="71">
        <f>X49*U49</f>
        <v/>
      </c>
    </row>
    <row r="50" s="11">
      <c r="U50" s="71">
        <f>S50*(1-T50)</f>
        <v/>
      </c>
      <c r="Y50" s="71">
        <f>X50*U50</f>
        <v/>
      </c>
    </row>
    <row r="51" s="11">
      <c r="U51" s="71">
        <f>S51*(1-T51)</f>
        <v/>
      </c>
      <c r="Y51" s="71">
        <f>X51*U51</f>
        <v/>
      </c>
    </row>
    <row r="52" s="11">
      <c r="U52" s="71">
        <f>S52*(1-T52)</f>
        <v/>
      </c>
      <c r="Y52" s="71">
        <f>X52*U52</f>
        <v/>
      </c>
    </row>
    <row r="53" s="11">
      <c r="U53" s="71">
        <f>S53*(1-T53)</f>
        <v/>
      </c>
      <c r="Y53" s="71">
        <f>X53*U53</f>
        <v/>
      </c>
    </row>
    <row r="54" s="11">
      <c r="U54" s="71">
        <f>S54*(1-T54)</f>
        <v/>
      </c>
      <c r="Y54" s="71">
        <f>X54*U54</f>
        <v/>
      </c>
    </row>
    <row r="55" s="11">
      <c r="U55" s="71">
        <f>S55*(1-T55)</f>
        <v/>
      </c>
      <c r="Y55" s="71">
        <f>X55*U55</f>
        <v/>
      </c>
    </row>
    <row r="56" s="11">
      <c r="U56" s="71">
        <f>S56*(1-T56)</f>
        <v/>
      </c>
      <c r="Y56" s="71">
        <f>X56*U56</f>
        <v/>
      </c>
    </row>
    <row r="57" s="11">
      <c r="U57" s="71">
        <f>S57*(1-T57)</f>
        <v/>
      </c>
      <c r="Y57" s="71">
        <f>X57*U57</f>
        <v/>
      </c>
    </row>
    <row r="58" s="11">
      <c r="U58" s="71">
        <f>S58*(1-T58)</f>
        <v/>
      </c>
      <c r="Y58" s="71">
        <f>X58*U58</f>
        <v/>
      </c>
    </row>
    <row r="59" s="11">
      <c r="U59" s="71">
        <f>S59*(1-T59)</f>
        <v/>
      </c>
      <c r="Y59" s="71">
        <f>X59*U59</f>
        <v/>
      </c>
    </row>
    <row r="60" s="11">
      <c r="U60" s="71">
        <f>S60*(1-T60)</f>
        <v/>
      </c>
      <c r="Y60" s="71">
        <f>X60*U60</f>
        <v/>
      </c>
    </row>
    <row r="61" s="11">
      <c r="U61" s="71">
        <f>S61*(1-T61)</f>
        <v/>
      </c>
      <c r="Y61" s="71">
        <f>X61*U61</f>
        <v/>
      </c>
    </row>
    <row r="62" s="11">
      <c r="U62" s="71">
        <f>S62*(1-T62)</f>
        <v/>
      </c>
      <c r="Y62" s="71">
        <f>X62*U62</f>
        <v/>
      </c>
    </row>
    <row r="63" s="11">
      <c r="U63" s="71">
        <f>S63*(1-T63)</f>
        <v/>
      </c>
      <c r="Y63" s="71">
        <f>X63*U63</f>
        <v/>
      </c>
    </row>
    <row r="64" s="11">
      <c r="U64" s="71">
        <f>S64*(1-T64)</f>
        <v/>
      </c>
      <c r="Y64" s="71">
        <f>X64*U64</f>
        <v/>
      </c>
    </row>
    <row r="65" s="11">
      <c r="U65" s="71">
        <f>S65*(1-T65)</f>
        <v/>
      </c>
      <c r="Y65" s="71">
        <f>X65*U65</f>
        <v/>
      </c>
    </row>
    <row r="66" s="11">
      <c r="U66" s="71">
        <f>S66*(1-T66)</f>
        <v/>
      </c>
      <c r="Y66" s="71">
        <f>X66*U66</f>
        <v/>
      </c>
    </row>
    <row r="67" s="11">
      <c r="U67" s="71">
        <f>S67*(1-T67)</f>
        <v/>
      </c>
      <c r="Y67" s="71">
        <f>X67*U67</f>
        <v/>
      </c>
    </row>
    <row r="68" s="11">
      <c r="U68" s="71">
        <f>S68*(1-T68)</f>
        <v/>
      </c>
      <c r="Y68" s="71">
        <f>X68*U68</f>
        <v/>
      </c>
    </row>
    <row r="69" s="11">
      <c r="U69" s="71">
        <f>S69*(1-T69)</f>
        <v/>
      </c>
      <c r="Y69" s="71">
        <f>X69*U69</f>
        <v/>
      </c>
    </row>
    <row r="70" s="11">
      <c r="U70" s="71">
        <f>S70*(1-T70)</f>
        <v/>
      </c>
      <c r="Y70" s="71">
        <f>X70*U70</f>
        <v/>
      </c>
    </row>
    <row r="71" s="11">
      <c r="U71" s="71">
        <f>S71*(1-T71)</f>
        <v/>
      </c>
      <c r="Y71" s="71">
        <f>X71*U71</f>
        <v/>
      </c>
    </row>
    <row r="72" s="11">
      <c r="U72" s="71">
        <f>S72*(1-T72)</f>
        <v/>
      </c>
      <c r="Y72" s="71">
        <f>X72*U72</f>
        <v/>
      </c>
    </row>
    <row r="73" s="11">
      <c r="U73" s="71">
        <f>S73*(1-T73)</f>
        <v/>
      </c>
      <c r="Y73" s="71">
        <f>X73*U73</f>
        <v/>
      </c>
    </row>
    <row r="74" s="11">
      <c r="U74" s="71">
        <f>S74*(1-T74)</f>
        <v/>
      </c>
      <c r="Y74" s="71">
        <f>X74*U74</f>
        <v/>
      </c>
    </row>
    <row r="75" s="11">
      <c r="U75" s="71">
        <f>S75*(1-T75)</f>
        <v/>
      </c>
      <c r="Y75" s="71">
        <f>X75*U75</f>
        <v/>
      </c>
    </row>
    <row r="76" s="11">
      <c r="U76" s="71">
        <f>S76*(1-T76)</f>
        <v/>
      </c>
      <c r="Y76" s="71">
        <f>X76*U76</f>
        <v/>
      </c>
    </row>
    <row r="77" s="11">
      <c r="U77" s="71">
        <f>S77*(1-T77)</f>
        <v/>
      </c>
      <c r="Y77" s="71">
        <f>X77*U77</f>
        <v/>
      </c>
    </row>
    <row r="78" s="11">
      <c r="U78" s="71">
        <f>S78*(1-T78)</f>
        <v/>
      </c>
      <c r="Y78" s="71">
        <f>X78*U78</f>
        <v/>
      </c>
    </row>
    <row r="79" s="11">
      <c r="U79" s="71">
        <f>S79*(1-T79)</f>
        <v/>
      </c>
      <c r="Y79" s="71">
        <f>X79*U79</f>
        <v/>
      </c>
    </row>
    <row r="80" s="11">
      <c r="U80" s="71">
        <f>S80*(1-T80)</f>
        <v/>
      </c>
      <c r="Y80" s="71">
        <f>X80*U80</f>
        <v/>
      </c>
    </row>
    <row r="81" s="11">
      <c r="U81" s="71">
        <f>S81*(1-T81)</f>
        <v/>
      </c>
      <c r="Y81" s="71">
        <f>X81*U81</f>
        <v/>
      </c>
    </row>
    <row r="82" s="11">
      <c r="U82" s="71">
        <f>S82*(1-T82)</f>
        <v/>
      </c>
      <c r="Y82" s="71">
        <f>X82*U82</f>
        <v/>
      </c>
    </row>
    <row r="83" s="11">
      <c r="U83" s="71">
        <f>S83*(1-T83)</f>
        <v/>
      </c>
      <c r="Y83" s="71">
        <f>X83*U83</f>
        <v/>
      </c>
    </row>
    <row r="84" s="11">
      <c r="U84" s="71">
        <f>S84*(1-T84)</f>
        <v/>
      </c>
      <c r="Y84" s="71">
        <f>X84*U84</f>
        <v/>
      </c>
    </row>
    <row r="85" s="11">
      <c r="U85" s="71">
        <f>S85*(1-T85)</f>
        <v/>
      </c>
      <c r="Y85" s="71">
        <f>X85*U85</f>
        <v/>
      </c>
    </row>
    <row r="86" s="11">
      <c r="U86" s="71">
        <f>S86*(1-T86)</f>
        <v/>
      </c>
      <c r="Y86" s="71">
        <f>X86*U86</f>
        <v/>
      </c>
    </row>
    <row r="87" s="11">
      <c r="U87" s="71">
        <f>S87*(1-T87)</f>
        <v/>
      </c>
      <c r="Y87" s="71">
        <f>X87*U87</f>
        <v/>
      </c>
    </row>
    <row r="88" s="11">
      <c r="U88" s="71">
        <f>S88*(1-T88)</f>
        <v/>
      </c>
      <c r="Y88" s="71">
        <f>X88*U88</f>
        <v/>
      </c>
    </row>
    <row r="89" s="11">
      <c r="U89" s="71">
        <f>S89*(1-T89)</f>
        <v/>
      </c>
      <c r="Y89" s="71">
        <f>X89*U89</f>
        <v/>
      </c>
    </row>
    <row r="90" s="11">
      <c r="U90" s="71">
        <f>S90*(1-T90)</f>
        <v/>
      </c>
      <c r="Y90" s="71">
        <f>X90*U90</f>
        <v/>
      </c>
    </row>
    <row r="91" s="11">
      <c r="U91" s="71">
        <f>S91*(1-T91)</f>
        <v/>
      </c>
      <c r="Y91" s="71">
        <f>X91*U91</f>
        <v/>
      </c>
    </row>
    <row r="92" s="11">
      <c r="U92" s="71">
        <f>S92*(1-T92)</f>
        <v/>
      </c>
      <c r="Y92" s="71">
        <f>X92*U92</f>
        <v/>
      </c>
    </row>
    <row r="93" s="11">
      <c r="U93" s="71">
        <f>S93*(1-T93)</f>
        <v/>
      </c>
      <c r="Y93" s="71">
        <f>X93*U93</f>
        <v/>
      </c>
    </row>
    <row r="94" s="11">
      <c r="U94" s="71">
        <f>S94*(1-T94)</f>
        <v/>
      </c>
      <c r="Y94" s="71">
        <f>X94*U94</f>
        <v/>
      </c>
    </row>
    <row r="95" s="11">
      <c r="U95" s="71">
        <f>S95*(1-T95)</f>
        <v/>
      </c>
      <c r="Y95" s="71">
        <f>X95*U95</f>
        <v/>
      </c>
    </row>
    <row r="96" s="11">
      <c r="U96" s="71">
        <f>S96*(1-T96)</f>
        <v/>
      </c>
      <c r="Y96" s="71">
        <f>X96*U96</f>
        <v/>
      </c>
    </row>
    <row r="97" s="11">
      <c r="U97" s="71">
        <f>S97*(1-T97)</f>
        <v/>
      </c>
      <c r="Y97" s="71">
        <f>X97*U97</f>
        <v/>
      </c>
    </row>
    <row r="98" s="11">
      <c r="U98" s="71">
        <f>S98*(1-T98)</f>
        <v/>
      </c>
      <c r="Y98" s="71">
        <f>X98*U98</f>
        <v/>
      </c>
    </row>
    <row r="99" s="11">
      <c r="U99" s="71">
        <f>S99*(1-T99)</f>
        <v/>
      </c>
      <c r="Y99" s="71">
        <f>X99*U99</f>
        <v/>
      </c>
    </row>
    <row r="100" s="11">
      <c r="U100" s="71">
        <f>S100*(1-T100)</f>
        <v/>
      </c>
      <c r="Y100" s="71">
        <f>X100*U100</f>
        <v/>
      </c>
    </row>
    <row r="101" s="11">
      <c r="U101" s="71">
        <f>S101*(1-T101)</f>
        <v/>
      </c>
      <c r="Y101" s="71">
        <f>X101*U101</f>
        <v/>
      </c>
    </row>
    <row r="102" s="11">
      <c r="U102" s="71">
        <f>S102*(1-T102)</f>
        <v/>
      </c>
      <c r="Y102" s="71">
        <f>X102*U102</f>
        <v/>
      </c>
    </row>
    <row r="103" s="11">
      <c r="U103" s="71">
        <f>S103*(1-T103)</f>
        <v/>
      </c>
      <c r="Y103" s="71">
        <f>X103*U103</f>
        <v/>
      </c>
    </row>
    <row r="104" s="11">
      <c r="U104" s="71">
        <f>S104*(1-T104)</f>
        <v/>
      </c>
      <c r="Y104" s="71">
        <f>X104*U104</f>
        <v/>
      </c>
    </row>
    <row r="105" s="11">
      <c r="U105" s="71">
        <f>S105*(1-T105)</f>
        <v/>
      </c>
      <c r="Y105" s="71">
        <f>X105*U105</f>
        <v/>
      </c>
    </row>
    <row r="106" s="11">
      <c r="U106" s="71">
        <f>S106*(1-T106)</f>
        <v/>
      </c>
      <c r="Y106" s="71">
        <f>X106*U106</f>
        <v/>
      </c>
    </row>
    <row r="107" s="11">
      <c r="U107" s="71">
        <f>S107*(1-T107)</f>
        <v/>
      </c>
      <c r="Y107" s="71">
        <f>X107*U107</f>
        <v/>
      </c>
    </row>
    <row r="108" s="11">
      <c r="U108" s="71">
        <f>S108*(1-T108)</f>
        <v/>
      </c>
      <c r="Y108" s="71">
        <f>X108*U108</f>
        <v/>
      </c>
    </row>
    <row r="109" s="11">
      <c r="U109" s="71">
        <f>S109*(1-T109)</f>
        <v/>
      </c>
      <c r="Y109" s="71">
        <f>X109*U109</f>
        <v/>
      </c>
    </row>
    <row r="110" s="11">
      <c r="U110" s="71">
        <f>S110*(1-T110)</f>
        <v/>
      </c>
      <c r="Y110" s="71">
        <f>X110*U110</f>
        <v/>
      </c>
    </row>
    <row r="111" s="11">
      <c r="U111" s="71">
        <f>S111*(1-T111)</f>
        <v/>
      </c>
      <c r="Y111" s="71">
        <f>X111*U111</f>
        <v/>
      </c>
    </row>
    <row r="112" s="11">
      <c r="U112" s="71">
        <f>S112*(1-T112)</f>
        <v/>
      </c>
      <c r="Y112" s="71">
        <f>X112*U112</f>
        <v/>
      </c>
    </row>
    <row r="113" s="11">
      <c r="U113" s="71">
        <f>S113*(1-T113)</f>
        <v/>
      </c>
      <c r="Y113" s="71">
        <f>X113*U113</f>
        <v/>
      </c>
    </row>
    <row r="114" s="11">
      <c r="U114" s="71">
        <f>S114*(1-T114)</f>
        <v/>
      </c>
      <c r="Y114" s="71">
        <f>X114*U114</f>
        <v/>
      </c>
    </row>
    <row r="115" s="11">
      <c r="U115" s="71">
        <f>S115*(1-T115)</f>
        <v/>
      </c>
      <c r="Y115" s="71">
        <f>X115*U115</f>
        <v/>
      </c>
    </row>
    <row r="116" s="11">
      <c r="U116" s="71">
        <f>S116*(1-T116)</f>
        <v/>
      </c>
      <c r="Y116" s="71">
        <f>X116*U116</f>
        <v/>
      </c>
    </row>
    <row r="117" s="11">
      <c r="U117" s="71">
        <f>S117*(1-T117)</f>
        <v/>
      </c>
      <c r="Y117" s="71">
        <f>X117*U117</f>
        <v/>
      </c>
    </row>
    <row r="118" s="11">
      <c r="U118" s="71">
        <f>S118*(1-T118)</f>
        <v/>
      </c>
      <c r="Y118" s="71">
        <f>X118*U118</f>
        <v/>
      </c>
    </row>
    <row r="119" s="11">
      <c r="U119" s="71">
        <f>S119*(1-T119)</f>
        <v/>
      </c>
      <c r="Y119" s="71">
        <f>X119*U119</f>
        <v/>
      </c>
    </row>
    <row r="120" s="11">
      <c r="U120" s="71">
        <f>S120*(1-T120)</f>
        <v/>
      </c>
      <c r="Y120" s="71">
        <f>X120*U120</f>
        <v/>
      </c>
    </row>
    <row r="121" s="11">
      <c r="U121" s="71">
        <f>S121*(1-T121)</f>
        <v/>
      </c>
      <c r="Y121" s="71">
        <f>X121*U121</f>
        <v/>
      </c>
    </row>
    <row r="122" s="11">
      <c r="U122" s="71">
        <f>S122*(1-T122)</f>
        <v/>
      </c>
      <c r="Y122" s="71">
        <f>X122*U122</f>
        <v/>
      </c>
    </row>
    <row r="123" s="11">
      <c r="U123" s="71">
        <f>S123*(1-T123)</f>
        <v/>
      </c>
      <c r="Y123" s="71">
        <f>X123*U123</f>
        <v/>
      </c>
    </row>
    <row r="124" s="11">
      <c r="U124" s="71">
        <f>S124*(1-T124)</f>
        <v/>
      </c>
      <c r="Y124" s="71">
        <f>X124*U124</f>
        <v/>
      </c>
    </row>
    <row r="125" s="11">
      <c r="U125" s="71">
        <f>S125*(1-T125)</f>
        <v/>
      </c>
      <c r="Y125" s="71">
        <f>X125*U125</f>
        <v/>
      </c>
    </row>
    <row r="126" s="11">
      <c r="U126" s="71">
        <f>S126*(1-T126)</f>
        <v/>
      </c>
      <c r="Y126" s="71">
        <f>X126*U126</f>
        <v/>
      </c>
    </row>
    <row r="127" s="11">
      <c r="U127" s="71">
        <f>S127*(1-T127)</f>
        <v/>
      </c>
      <c r="Y127" s="71">
        <f>X127*U127</f>
        <v/>
      </c>
    </row>
    <row r="128" s="11">
      <c r="U128" s="71">
        <f>S128*(1-T128)</f>
        <v/>
      </c>
      <c r="Y128" s="71">
        <f>X128*U128</f>
        <v/>
      </c>
    </row>
    <row r="129" s="11">
      <c r="U129" s="71">
        <f>S129*(1-T129)</f>
        <v/>
      </c>
      <c r="Y129" s="71">
        <f>X129*U129</f>
        <v/>
      </c>
    </row>
    <row r="130" s="11">
      <c r="U130" s="71">
        <f>S130*(1-T130)</f>
        <v/>
      </c>
      <c r="Y130" s="71">
        <f>X130*U130</f>
        <v/>
      </c>
    </row>
    <row r="131" s="11">
      <c r="U131" s="71">
        <f>S131*(1-T131)</f>
        <v/>
      </c>
      <c r="Y131" s="71">
        <f>X131*U131</f>
        <v/>
      </c>
    </row>
    <row r="132" s="11">
      <c r="U132" s="71">
        <f>S132*(1-T132)</f>
        <v/>
      </c>
      <c r="Y132" s="71">
        <f>X132*U132</f>
        <v/>
      </c>
    </row>
    <row r="133" s="11">
      <c r="U133" s="71">
        <f>S133*(1-T133)</f>
        <v/>
      </c>
      <c r="Y133" s="71">
        <f>X133*U133</f>
        <v/>
      </c>
    </row>
    <row r="134" s="11">
      <c r="U134" s="71">
        <f>S134*(1-T134)</f>
        <v/>
      </c>
      <c r="Y134" s="71">
        <f>X134*U134</f>
        <v/>
      </c>
    </row>
    <row r="135" s="11">
      <c r="U135" s="71">
        <f>S135*(1-T135)</f>
        <v/>
      </c>
      <c r="Y135" s="71">
        <f>X135*U135</f>
        <v/>
      </c>
    </row>
    <row r="136" s="11">
      <c r="U136" s="71">
        <f>S136*(1-T136)</f>
        <v/>
      </c>
      <c r="Y136" s="71">
        <f>X136*U136</f>
        <v/>
      </c>
    </row>
    <row r="137" s="11">
      <c r="U137" s="71">
        <f>S137*(1-T137)</f>
        <v/>
      </c>
      <c r="Y137" s="71">
        <f>X137*U137</f>
        <v/>
      </c>
    </row>
    <row r="138" s="11">
      <c r="U138" s="71">
        <f>S138*(1-T138)</f>
        <v/>
      </c>
      <c r="Y138" s="71">
        <f>X138*U138</f>
        <v/>
      </c>
    </row>
    <row r="139" s="11">
      <c r="U139" s="71">
        <f>S139*(1-T139)</f>
        <v/>
      </c>
      <c r="Y139" s="71">
        <f>X139*U139</f>
        <v/>
      </c>
    </row>
    <row r="140" s="11">
      <c r="U140" s="71">
        <f>S140*(1-T140)</f>
        <v/>
      </c>
      <c r="Y140" s="71">
        <f>X140*U140</f>
        <v/>
      </c>
    </row>
    <row r="141" s="11">
      <c r="U141" s="71">
        <f>S141*(1-T141)</f>
        <v/>
      </c>
      <c r="Y141" s="71">
        <f>X141*U141</f>
        <v/>
      </c>
    </row>
    <row r="142" s="11">
      <c r="U142" s="71">
        <f>S142*(1-T142)</f>
        <v/>
      </c>
      <c r="Y142" s="71">
        <f>X142*U142</f>
        <v/>
      </c>
    </row>
    <row r="143" s="11">
      <c r="U143" s="71">
        <f>S143*(1-T143)</f>
        <v/>
      </c>
      <c r="Y143" s="71">
        <f>X143*U143</f>
        <v/>
      </c>
    </row>
    <row r="144" s="11">
      <c r="U144" s="71">
        <f>S144*(1-T144)</f>
        <v/>
      </c>
      <c r="Y144" s="71">
        <f>X144*U144</f>
        <v/>
      </c>
    </row>
    <row r="145" s="11">
      <c r="U145" s="71">
        <f>S145*(1-T145)</f>
        <v/>
      </c>
      <c r="Y145" s="71">
        <f>X145*U145</f>
        <v/>
      </c>
    </row>
    <row r="146" s="11">
      <c r="U146" s="71">
        <f>S146*(1-T146)</f>
        <v/>
      </c>
      <c r="Y146" s="71">
        <f>X146*U146</f>
        <v/>
      </c>
    </row>
    <row r="147" s="11">
      <c r="U147" s="71">
        <f>S147*(1-T147)</f>
        <v/>
      </c>
      <c r="Y147" s="71">
        <f>X147*U147</f>
        <v/>
      </c>
    </row>
    <row r="148" s="11">
      <c r="U148" s="71">
        <f>S148*(1-T148)</f>
        <v/>
      </c>
      <c r="Y148" s="71">
        <f>X148*U148</f>
        <v/>
      </c>
    </row>
    <row r="149" s="11">
      <c r="U149" s="71">
        <f>S149*(1-T149)</f>
        <v/>
      </c>
      <c r="Y149" s="71">
        <f>X149*U149</f>
        <v/>
      </c>
    </row>
    <row r="150" s="11">
      <c r="U150" s="71">
        <f>S150*(1-T150)</f>
        <v/>
      </c>
      <c r="Y150" s="71">
        <f>X150*U150</f>
        <v/>
      </c>
    </row>
    <row r="151" s="11">
      <c r="U151" s="71">
        <f>S151*(1-T151)</f>
        <v/>
      </c>
      <c r="Y151" s="71">
        <f>X151*U151</f>
        <v/>
      </c>
    </row>
    <row r="152" s="11">
      <c r="U152" s="71">
        <f>S152*(1-T152)</f>
        <v/>
      </c>
      <c r="Y152" s="71">
        <f>X152*U152</f>
        <v/>
      </c>
    </row>
    <row r="153" s="11">
      <c r="U153" s="71">
        <f>S153*(1-T153)</f>
        <v/>
      </c>
      <c r="Y153" s="71">
        <f>X153*U153</f>
        <v/>
      </c>
    </row>
    <row r="154" s="11">
      <c r="U154" s="71">
        <f>S154*(1-T154)</f>
        <v/>
      </c>
      <c r="Y154" s="71">
        <f>X154*U154</f>
        <v/>
      </c>
    </row>
    <row r="155" s="11">
      <c r="U155" s="71">
        <f>S155*(1-T155)</f>
        <v/>
      </c>
      <c r="Y155" s="71">
        <f>X155*U155</f>
        <v/>
      </c>
    </row>
    <row r="156" s="11">
      <c r="U156" s="71">
        <f>S156*(1-T156)</f>
        <v/>
      </c>
      <c r="Y156" s="71">
        <f>X156*U156</f>
        <v/>
      </c>
    </row>
    <row r="157" s="11">
      <c r="U157" s="71">
        <f>S157*(1-T157)</f>
        <v/>
      </c>
      <c r="Y157" s="71">
        <f>X157*U157</f>
        <v/>
      </c>
    </row>
    <row r="158" s="11">
      <c r="U158" s="71">
        <f>S158*(1-T158)</f>
        <v/>
      </c>
      <c r="Y158" s="71">
        <f>X158*U158</f>
        <v/>
      </c>
    </row>
    <row r="159" s="11">
      <c r="U159" s="71">
        <f>S159*(1-T159)</f>
        <v/>
      </c>
      <c r="Y159" s="71">
        <f>X159*U159</f>
        <v/>
      </c>
    </row>
    <row r="160" s="11">
      <c r="U160" s="71">
        <f>S160*(1-T160)</f>
        <v/>
      </c>
      <c r="Y160" s="71">
        <f>X160*U160</f>
        <v/>
      </c>
    </row>
    <row r="161" s="11">
      <c r="U161" s="71">
        <f>S161*(1-T161)</f>
        <v/>
      </c>
      <c r="Y161" s="71">
        <f>X161*U161</f>
        <v/>
      </c>
    </row>
    <row r="162" s="11">
      <c r="U162" s="71">
        <f>S162*(1-T162)</f>
        <v/>
      </c>
      <c r="Y162" s="71">
        <f>X162*U162</f>
        <v/>
      </c>
    </row>
    <row r="163" s="11">
      <c r="U163" s="71">
        <f>S163*(1-T163)</f>
        <v/>
      </c>
      <c r="Y163" s="71">
        <f>X163*U163</f>
        <v/>
      </c>
    </row>
    <row r="164" s="11">
      <c r="U164" s="71">
        <f>S164*(1-T164)</f>
        <v/>
      </c>
      <c r="Y164" s="71">
        <f>X164*U164</f>
        <v/>
      </c>
    </row>
    <row r="165" s="11">
      <c r="U165" s="71">
        <f>S165*(1-T165)</f>
        <v/>
      </c>
      <c r="Y165" s="71">
        <f>X165*U165</f>
        <v/>
      </c>
    </row>
    <row r="166" s="11">
      <c r="U166" s="71">
        <f>S166*(1-T166)</f>
        <v/>
      </c>
      <c r="Y166" s="71">
        <f>X166*U166</f>
        <v/>
      </c>
    </row>
    <row r="167" s="11">
      <c r="U167" s="71">
        <f>S167*(1-T167)</f>
        <v/>
      </c>
      <c r="Y167" s="71">
        <f>X167*U167</f>
        <v/>
      </c>
    </row>
    <row r="168" s="11">
      <c r="U168" s="71">
        <f>S168*(1-T168)</f>
        <v/>
      </c>
      <c r="Y168" s="71">
        <f>X168*U168</f>
        <v/>
      </c>
    </row>
    <row r="169" s="11">
      <c r="U169" s="71">
        <f>S169*(1-T169)</f>
        <v/>
      </c>
      <c r="Y169" s="71">
        <f>X169*U169</f>
        <v/>
      </c>
    </row>
    <row r="170" s="11">
      <c r="U170" s="71">
        <f>S170*(1-T170)</f>
        <v/>
      </c>
      <c r="Y170" s="71">
        <f>X170*U170</f>
        <v/>
      </c>
    </row>
    <row r="171" s="11">
      <c r="U171" s="71">
        <f>S171*(1-T171)</f>
        <v/>
      </c>
      <c r="Y171" s="71">
        <f>X171*U171</f>
        <v/>
      </c>
    </row>
    <row r="172" s="11">
      <c r="U172" s="71">
        <f>S172*(1-T172)</f>
        <v/>
      </c>
      <c r="Y172" s="71">
        <f>X172*U172</f>
        <v/>
      </c>
    </row>
    <row r="173" s="11">
      <c r="U173" s="71">
        <f>S173*(1-T173)</f>
        <v/>
      </c>
      <c r="Y173" s="71">
        <f>X173*U173</f>
        <v/>
      </c>
    </row>
    <row r="174" s="11">
      <c r="U174" s="71">
        <f>S174*(1-T174)</f>
        <v/>
      </c>
      <c r="Y174" s="71">
        <f>X174*U174</f>
        <v/>
      </c>
    </row>
    <row r="175" s="11">
      <c r="U175" s="71">
        <f>S175*(1-T175)</f>
        <v/>
      </c>
      <c r="Y175" s="71">
        <f>X175*U175</f>
        <v/>
      </c>
    </row>
    <row r="176" s="11">
      <c r="U176" s="71">
        <f>S176*(1-T176)</f>
        <v/>
      </c>
      <c r="Y176" s="71">
        <f>X176*U176</f>
        <v/>
      </c>
    </row>
    <row r="177" s="11">
      <c r="U177" s="71">
        <f>S177*(1-T177)</f>
        <v/>
      </c>
      <c r="Y177" s="71">
        <f>X177*U177</f>
        <v/>
      </c>
    </row>
    <row r="178" s="11">
      <c r="U178" s="71">
        <f>S178*(1-T178)</f>
        <v/>
      </c>
      <c r="Y178" s="71">
        <f>X178*U178</f>
        <v/>
      </c>
    </row>
    <row r="179" s="11">
      <c r="U179" s="71">
        <f>S179*(1-T179)</f>
        <v/>
      </c>
      <c r="Y179" s="71">
        <f>X179*U179</f>
        <v/>
      </c>
    </row>
    <row r="180" s="11">
      <c r="U180" s="71">
        <f>S180*(1-T180)</f>
        <v/>
      </c>
      <c r="Y180" s="71">
        <f>X180*U180</f>
        <v/>
      </c>
    </row>
    <row r="181" s="11">
      <c r="U181" s="71">
        <f>S181*(1-T181)</f>
        <v/>
      </c>
      <c r="Y181" s="71">
        <f>X181*U181</f>
        <v/>
      </c>
    </row>
    <row r="182" s="11">
      <c r="U182" s="71">
        <f>S182*(1-T182)</f>
        <v/>
      </c>
      <c r="Y182" s="71">
        <f>X182*U182</f>
        <v/>
      </c>
    </row>
    <row r="183" s="11">
      <c r="U183" s="71">
        <f>S183*(1-T183)</f>
        <v/>
      </c>
      <c r="Y183" s="71">
        <f>X183*U183</f>
        <v/>
      </c>
    </row>
    <row r="184" s="11">
      <c r="U184" s="71">
        <f>S184*(1-T184)</f>
        <v/>
      </c>
      <c r="Y184" s="71">
        <f>X184*U184</f>
        <v/>
      </c>
    </row>
    <row r="185" s="11">
      <c r="U185" s="71">
        <f>S185*(1-T185)</f>
        <v/>
      </c>
      <c r="Y185" s="71">
        <f>X185*U185</f>
        <v/>
      </c>
    </row>
    <row r="186" s="11">
      <c r="U186" s="71">
        <f>S186*(1-T186)</f>
        <v/>
      </c>
      <c r="Y186" s="71">
        <f>X186*U186</f>
        <v/>
      </c>
    </row>
    <row r="187" s="11">
      <c r="U187" s="71">
        <f>S187*(1-T187)</f>
        <v/>
      </c>
      <c r="Y187" s="71">
        <f>X187*U187</f>
        <v/>
      </c>
    </row>
    <row r="188" s="11">
      <c r="U188" s="71">
        <f>S188*(1-T188)</f>
        <v/>
      </c>
      <c r="Y188" s="71">
        <f>X188*U188</f>
        <v/>
      </c>
    </row>
    <row r="189" s="11">
      <c r="U189" s="71">
        <f>S189*(1-T189)</f>
        <v/>
      </c>
      <c r="Y189" s="71">
        <f>X189*U189</f>
        <v/>
      </c>
    </row>
    <row r="190" s="11">
      <c r="U190" s="71">
        <f>S190*(1-T190)</f>
        <v/>
      </c>
      <c r="Y190" s="71">
        <f>X190*U190</f>
        <v/>
      </c>
    </row>
    <row r="191" s="11">
      <c r="U191" s="71">
        <f>S191*(1-T191)</f>
        <v/>
      </c>
      <c r="Y191" s="71">
        <f>X191*U191</f>
        <v/>
      </c>
    </row>
    <row r="192" s="11">
      <c r="U192" s="71">
        <f>S192*(1-T192)</f>
        <v/>
      </c>
      <c r="Y192" s="71">
        <f>X192*U192</f>
        <v/>
      </c>
    </row>
    <row r="193" s="11">
      <c r="U193" s="71">
        <f>S193*(1-T193)</f>
        <v/>
      </c>
      <c r="Y193" s="71">
        <f>X193*U193</f>
        <v/>
      </c>
    </row>
    <row r="194" s="11">
      <c r="U194" s="71">
        <f>S194*(1-T194)</f>
        <v/>
      </c>
      <c r="Y194" s="71">
        <f>X194*U194</f>
        <v/>
      </c>
    </row>
    <row r="195" s="11">
      <c r="U195" s="71">
        <f>S195*(1-T195)</f>
        <v/>
      </c>
      <c r="Y195" s="71">
        <f>X195*U195</f>
        <v/>
      </c>
    </row>
    <row r="196" s="11">
      <c r="U196" s="71">
        <f>S196*(1-T196)</f>
        <v/>
      </c>
      <c r="Y196" s="71">
        <f>X196*U196</f>
        <v/>
      </c>
    </row>
    <row r="197" s="11">
      <c r="U197" s="71">
        <f>S197*(1-T197)</f>
        <v/>
      </c>
      <c r="Y197" s="71">
        <f>X197*U197</f>
        <v/>
      </c>
    </row>
    <row r="198" s="11">
      <c r="U198" s="71">
        <f>S198*(1-T198)</f>
        <v/>
      </c>
      <c r="Y198" s="71">
        <f>X198*U198</f>
        <v/>
      </c>
    </row>
    <row r="199" s="11">
      <c r="U199" s="71">
        <f>S199*(1-T199)</f>
        <v/>
      </c>
      <c r="Y199" s="71">
        <f>X199*U199</f>
        <v/>
      </c>
    </row>
    <row r="200" s="11">
      <c r="U200" s="71">
        <f>S200*(1-T200)</f>
        <v/>
      </c>
      <c r="Y200" s="71">
        <f>X200*U200</f>
        <v/>
      </c>
    </row>
    <row r="201" s="11">
      <c r="U201" s="71">
        <f>S201*(1-T201)</f>
        <v/>
      </c>
      <c r="Y201" s="71">
        <f>X201*U201</f>
        <v/>
      </c>
    </row>
    <row r="202" s="11">
      <c r="U202" s="71">
        <f>S202*(1-T202)</f>
        <v/>
      </c>
      <c r="Y202" s="71">
        <f>X202*U202</f>
        <v/>
      </c>
    </row>
    <row r="203" s="11">
      <c r="U203" s="71">
        <f>S203*(1-T203)</f>
        <v/>
      </c>
      <c r="Y203" s="71">
        <f>X203*U203</f>
        <v/>
      </c>
    </row>
    <row r="204" s="11">
      <c r="U204" s="71">
        <f>S204*(1-T204)</f>
        <v/>
      </c>
      <c r="Y204" s="71">
        <f>X204*U204</f>
        <v/>
      </c>
    </row>
    <row r="205" s="11">
      <c r="U205" s="71">
        <f>S205*(1-T205)</f>
        <v/>
      </c>
      <c r="Y205" s="71">
        <f>X205*U205</f>
        <v/>
      </c>
    </row>
    <row r="206" s="11">
      <c r="U206" s="71">
        <f>S206*(1-T206)</f>
        <v/>
      </c>
      <c r="Y206" s="71">
        <f>X206*U206</f>
        <v/>
      </c>
    </row>
    <row r="207" s="11">
      <c r="U207" s="71">
        <f>S207*(1-T207)</f>
        <v/>
      </c>
      <c r="Y207" s="71">
        <f>X207*U207</f>
        <v/>
      </c>
    </row>
    <row r="208" s="11">
      <c r="U208" s="71">
        <f>S208*(1-T208)</f>
        <v/>
      </c>
      <c r="Y208" s="71">
        <f>X208*U208</f>
        <v/>
      </c>
    </row>
    <row r="209" s="11">
      <c r="U209" s="71">
        <f>S209*(1-T209)</f>
        <v/>
      </c>
      <c r="Y209" s="71">
        <f>X209*U209</f>
        <v/>
      </c>
    </row>
    <row r="210" s="11">
      <c r="U210" s="71">
        <f>S210*(1-T210)</f>
        <v/>
      </c>
      <c r="Y210" s="71">
        <f>X210*U210</f>
        <v/>
      </c>
    </row>
    <row r="211" s="11">
      <c r="U211" s="71">
        <f>S211*(1-T211)</f>
        <v/>
      </c>
      <c r="Y211" s="71">
        <f>X211*U211</f>
        <v/>
      </c>
    </row>
    <row r="212" s="11">
      <c r="U212" s="71">
        <f>S212*(1-T212)</f>
        <v/>
      </c>
      <c r="Y212" s="71">
        <f>X212*U212</f>
        <v/>
      </c>
    </row>
    <row r="213" s="11">
      <c r="U213" s="71">
        <f>S213*(1-T213)</f>
        <v/>
      </c>
      <c r="Y213" s="71">
        <f>X213*U213</f>
        <v/>
      </c>
    </row>
    <row r="214" s="11">
      <c r="U214" s="71">
        <f>S214*(1-T214)</f>
        <v/>
      </c>
      <c r="Y214" s="71">
        <f>X214*U214</f>
        <v/>
      </c>
    </row>
    <row r="215" s="11">
      <c r="U215" s="71">
        <f>S215*(1-T215)</f>
        <v/>
      </c>
      <c r="Y215" s="71">
        <f>X215*U215</f>
        <v/>
      </c>
    </row>
    <row r="216" s="11">
      <c r="U216" s="71">
        <f>S216*(1-T216)</f>
        <v/>
      </c>
      <c r="Y216" s="71">
        <f>X216*U216</f>
        <v/>
      </c>
    </row>
    <row r="217" s="11">
      <c r="U217" s="71">
        <f>S217*(1-T217)</f>
        <v/>
      </c>
      <c r="Y217" s="71">
        <f>X217*U217</f>
        <v/>
      </c>
    </row>
    <row r="218" s="11">
      <c r="U218" s="71">
        <f>S218*(1-T218)</f>
        <v/>
      </c>
      <c r="Y218" s="71">
        <f>X218*U218</f>
        <v/>
      </c>
    </row>
    <row r="219" s="11">
      <c r="U219" s="71">
        <f>S219*(1-T219)</f>
        <v/>
      </c>
      <c r="Y219" s="71">
        <f>X219*U219</f>
        <v/>
      </c>
    </row>
    <row r="220" s="11">
      <c r="U220" s="71">
        <f>S220*(1-T220)</f>
        <v/>
      </c>
      <c r="Y220" s="71">
        <f>X220*U220</f>
        <v/>
      </c>
    </row>
    <row r="221" s="11">
      <c r="U221" s="71">
        <f>S221*(1-T221)</f>
        <v/>
      </c>
      <c r="Y221" s="71">
        <f>X221*U221</f>
        <v/>
      </c>
    </row>
    <row r="222" s="11">
      <c r="U222" s="71">
        <f>S222*(1-T222)</f>
        <v/>
      </c>
      <c r="Y222" s="71">
        <f>X222*U222</f>
        <v/>
      </c>
    </row>
    <row r="223" s="11">
      <c r="U223" s="71">
        <f>S223*(1-T223)</f>
        <v/>
      </c>
      <c r="Y223" s="71">
        <f>X223*U223</f>
        <v/>
      </c>
    </row>
    <row r="224" s="11">
      <c r="U224" s="71">
        <f>S224*(1-T224)</f>
        <v/>
      </c>
      <c r="Y224" s="71">
        <f>X224*U224</f>
        <v/>
      </c>
    </row>
    <row r="225" s="11">
      <c r="U225" s="71">
        <f>S225*(1-T225)</f>
        <v/>
      </c>
      <c r="Y225" s="71">
        <f>X225*U225</f>
        <v/>
      </c>
    </row>
    <row r="226" s="11">
      <c r="U226" s="71">
        <f>S226*(1-T226)</f>
        <v/>
      </c>
      <c r="Y226" s="71">
        <f>X226*U226</f>
        <v/>
      </c>
    </row>
    <row r="227" s="11">
      <c r="U227" s="71">
        <f>S227*(1-T227)</f>
        <v/>
      </c>
      <c r="Y227" s="71">
        <f>X227*U227</f>
        <v/>
      </c>
    </row>
    <row r="228" s="11">
      <c r="U228" s="71">
        <f>S228*(1-T228)</f>
        <v/>
      </c>
      <c r="Y228" s="71">
        <f>X228*U228</f>
        <v/>
      </c>
    </row>
    <row r="229" s="11">
      <c r="U229" s="71">
        <f>S229*(1-T229)</f>
        <v/>
      </c>
      <c r="Y229" s="71">
        <f>X229*U229</f>
        <v/>
      </c>
    </row>
    <row r="230" s="11">
      <c r="U230" s="71">
        <f>S230*(1-T230)</f>
        <v/>
      </c>
      <c r="Y230" s="71">
        <f>X230*U230</f>
        <v/>
      </c>
    </row>
    <row r="231" s="11">
      <c r="U231" s="71">
        <f>S231*(1-T231)</f>
        <v/>
      </c>
      <c r="Y231" s="71">
        <f>X231*U231</f>
        <v/>
      </c>
    </row>
    <row r="232" s="11">
      <c r="U232" s="71">
        <f>S232*(1-T232)</f>
        <v/>
      </c>
      <c r="Y232" s="71">
        <f>X232*U232</f>
        <v/>
      </c>
    </row>
    <row r="233" s="11">
      <c r="U233" s="71">
        <f>S233*(1-T233)</f>
        <v/>
      </c>
      <c r="Y233" s="71">
        <f>X233*U233</f>
        <v/>
      </c>
    </row>
    <row r="234" s="11">
      <c r="U234" s="71">
        <f>S234*(1-T234)</f>
        <v/>
      </c>
      <c r="Y234" s="71">
        <f>X234*U234</f>
        <v/>
      </c>
    </row>
    <row r="235" s="11">
      <c r="U235" s="71">
        <f>S235*(1-T235)</f>
        <v/>
      </c>
      <c r="Y235" s="71">
        <f>X235*U235</f>
        <v/>
      </c>
    </row>
    <row r="236" s="11">
      <c r="U236" s="71">
        <f>S236*(1-T236)</f>
        <v/>
      </c>
      <c r="Y236" s="71">
        <f>X236*U236</f>
        <v/>
      </c>
    </row>
    <row r="237" s="11">
      <c r="U237" s="71">
        <f>S237*(1-T237)</f>
        <v/>
      </c>
      <c r="Y237" s="71">
        <f>X237*U237</f>
        <v/>
      </c>
    </row>
    <row r="238" s="11">
      <c r="U238" s="71">
        <f>S238*(1-T238)</f>
        <v/>
      </c>
      <c r="Y238" s="71">
        <f>X238*U238</f>
        <v/>
      </c>
    </row>
    <row r="239" s="11">
      <c r="U239" s="71">
        <f>S239*(1-T239)</f>
        <v/>
      </c>
      <c r="Y239" s="71">
        <f>X239*U239</f>
        <v/>
      </c>
    </row>
    <row r="240" s="11">
      <c r="U240" s="71">
        <f>S240*(1-T240)</f>
        <v/>
      </c>
      <c r="Y240" s="71">
        <f>X240*U240</f>
        <v/>
      </c>
    </row>
    <row r="241" s="11">
      <c r="U241" s="71">
        <f>S241*(1-T241)</f>
        <v/>
      </c>
      <c r="Y241" s="71">
        <f>X241*U241</f>
        <v/>
      </c>
    </row>
    <row r="242" s="11">
      <c r="U242" s="71">
        <f>S242*(1-T242)</f>
        <v/>
      </c>
      <c r="Y242" s="71">
        <f>X242*U242</f>
        <v/>
      </c>
    </row>
    <row r="243" s="11">
      <c r="U243" s="71">
        <f>S243*(1-T243)</f>
        <v/>
      </c>
      <c r="Y243" s="71">
        <f>X243*U243</f>
        <v/>
      </c>
    </row>
    <row r="244" s="11">
      <c r="U244" s="71">
        <f>S244*(1-T244)</f>
        <v/>
      </c>
      <c r="Y244" s="71">
        <f>X244*U244</f>
        <v/>
      </c>
    </row>
    <row r="245" s="11">
      <c r="U245" s="71">
        <f>S245*(1-T245)</f>
        <v/>
      </c>
      <c r="Y245" s="71">
        <f>X245*U245</f>
        <v/>
      </c>
    </row>
    <row r="246" s="11">
      <c r="U246" s="71">
        <f>S246*(1-T246)</f>
        <v/>
      </c>
      <c r="Y246" s="71">
        <f>X246*U246</f>
        <v/>
      </c>
    </row>
    <row r="247" s="11">
      <c r="U247" s="71">
        <f>S247*(1-T247)</f>
        <v/>
      </c>
      <c r="Y247" s="71">
        <f>X247*U247</f>
        <v/>
      </c>
    </row>
    <row r="248" s="11">
      <c r="U248" s="71">
        <f>S248*(1-T248)</f>
        <v/>
      </c>
      <c r="Y248" s="71">
        <f>X248*U248</f>
        <v/>
      </c>
    </row>
    <row r="249" s="11">
      <c r="U249" s="71">
        <f>S249*(1-T249)</f>
        <v/>
      </c>
      <c r="Y249" s="71">
        <f>X249*U249</f>
        <v/>
      </c>
    </row>
    <row r="250" s="11">
      <c r="U250" s="71">
        <f>S250*(1-T250)</f>
        <v/>
      </c>
      <c r="Y250" s="71">
        <f>X250*U250</f>
        <v/>
      </c>
    </row>
    <row r="251" s="11">
      <c r="U251" s="71">
        <f>S251*(1-T251)</f>
        <v/>
      </c>
      <c r="Y251" s="71">
        <f>X251*U251</f>
        <v/>
      </c>
    </row>
    <row r="252" s="11">
      <c r="U252" s="71">
        <f>S252*(1-T252)</f>
        <v/>
      </c>
      <c r="Y252" s="71">
        <f>X252*U252</f>
        <v/>
      </c>
    </row>
    <row r="253" s="11">
      <c r="U253" s="71">
        <f>S253*(1-T253)</f>
        <v/>
      </c>
      <c r="Y253" s="71">
        <f>X253*U253</f>
        <v/>
      </c>
    </row>
    <row r="254" s="11">
      <c r="U254" s="71">
        <f>S254*(1-T254)</f>
        <v/>
      </c>
      <c r="Y254" s="71">
        <f>X254*U254</f>
        <v/>
      </c>
    </row>
    <row r="255" s="11">
      <c r="U255" s="71">
        <f>S255*(1-T255)</f>
        <v/>
      </c>
      <c r="Y255" s="71">
        <f>X255*U255</f>
        <v/>
      </c>
    </row>
    <row r="256" s="11">
      <c r="U256" s="71">
        <f>S256*(1-T256)</f>
        <v/>
      </c>
      <c r="Y256" s="71">
        <f>X256*U256</f>
        <v/>
      </c>
    </row>
    <row r="257" s="11">
      <c r="U257" s="71">
        <f>S257*(1-T257)</f>
        <v/>
      </c>
      <c r="Y257" s="71">
        <f>X257*U257</f>
        <v/>
      </c>
    </row>
    <row r="258" s="11">
      <c r="U258" s="71">
        <f>S258*(1-T258)</f>
        <v/>
      </c>
      <c r="Y258" s="71">
        <f>X258*U258</f>
        <v/>
      </c>
    </row>
    <row r="259" s="11">
      <c r="U259" s="71">
        <f>S259*(1-T259)</f>
        <v/>
      </c>
      <c r="Y259" s="71">
        <f>X259*U259</f>
        <v/>
      </c>
    </row>
    <row r="260" s="11">
      <c r="U260" s="71">
        <f>S260*(1-T260)</f>
        <v/>
      </c>
      <c r="Y260" s="71">
        <f>X260*U260</f>
        <v/>
      </c>
    </row>
    <row r="261" s="11">
      <c r="U261" s="71">
        <f>S261*(1-T261)</f>
        <v/>
      </c>
      <c r="Y261" s="71">
        <f>X261*U261</f>
        <v/>
      </c>
    </row>
    <row r="262" s="11">
      <c r="U262" s="71">
        <f>S262*(1-T262)</f>
        <v/>
      </c>
      <c r="Y262" s="71">
        <f>X262*U262</f>
        <v/>
      </c>
    </row>
    <row r="263" s="11">
      <c r="U263" s="71">
        <f>S263*(1-T263)</f>
        <v/>
      </c>
      <c r="Y263" s="71">
        <f>X263*U263</f>
        <v/>
      </c>
    </row>
    <row r="264" s="11">
      <c r="U264" s="71">
        <f>S264*(1-T264)</f>
        <v/>
      </c>
      <c r="Y264" s="71">
        <f>X264*U264</f>
        <v/>
      </c>
    </row>
    <row r="265" s="11">
      <c r="U265" s="71">
        <f>S265*(1-T265)</f>
        <v/>
      </c>
      <c r="Y265" s="71">
        <f>X265*U265</f>
        <v/>
      </c>
    </row>
    <row r="266" s="11">
      <c r="U266" s="71">
        <f>S266*(1-T266)</f>
        <v/>
      </c>
      <c r="Y266" s="71">
        <f>X266*U266</f>
        <v/>
      </c>
    </row>
    <row r="267" s="11">
      <c r="U267" s="71">
        <f>S267*(1-T267)</f>
        <v/>
      </c>
      <c r="Y267" s="71">
        <f>X267*U267</f>
        <v/>
      </c>
    </row>
    <row r="268" s="11">
      <c r="U268" s="71">
        <f>S268*(1-T268)</f>
        <v/>
      </c>
      <c r="Y268" s="71">
        <f>X268*U268</f>
        <v/>
      </c>
    </row>
    <row r="269" s="11">
      <c r="U269" s="71">
        <f>S269*(1-T269)</f>
        <v/>
      </c>
      <c r="Y269" s="71">
        <f>X269*U269</f>
        <v/>
      </c>
    </row>
    <row r="270" s="11">
      <c r="U270" s="71">
        <f>S270*(1-T270)</f>
        <v/>
      </c>
      <c r="Y270" s="71">
        <f>X270*U270</f>
        <v/>
      </c>
    </row>
    <row r="271" s="11">
      <c r="U271" s="71">
        <f>S271*(1-T271)</f>
        <v/>
      </c>
      <c r="Y271" s="71">
        <f>X271*U271</f>
        <v/>
      </c>
    </row>
    <row r="272" s="11">
      <c r="U272" s="71">
        <f>S272*(1-T272)</f>
        <v/>
      </c>
      <c r="Y272" s="71">
        <f>X272*U272</f>
        <v/>
      </c>
    </row>
    <row r="273" s="11">
      <c r="U273" s="71">
        <f>S273*(1-T273)</f>
        <v/>
      </c>
      <c r="Y273" s="71">
        <f>X273*U273</f>
        <v/>
      </c>
    </row>
    <row r="274" s="11">
      <c r="U274" s="71">
        <f>S274*(1-T274)</f>
        <v/>
      </c>
      <c r="Y274" s="71">
        <f>X274*U274</f>
        <v/>
      </c>
    </row>
    <row r="275" s="11">
      <c r="U275" s="71">
        <f>S275*(1-T275)</f>
        <v/>
      </c>
      <c r="Y275" s="71">
        <f>X275*U275</f>
        <v/>
      </c>
    </row>
    <row r="276" s="11">
      <c r="U276" s="71">
        <f>S276*(1-T276)</f>
        <v/>
      </c>
      <c r="Y276" s="71">
        <f>X276*U276</f>
        <v/>
      </c>
    </row>
    <row r="277" s="11">
      <c r="U277" s="71">
        <f>S277*(1-T277)</f>
        <v/>
      </c>
      <c r="Y277" s="71">
        <f>X277*U277</f>
        <v/>
      </c>
    </row>
    <row r="278" s="11">
      <c r="U278" s="71">
        <f>S278*(1-T278)</f>
        <v/>
      </c>
      <c r="Y278" s="71">
        <f>X278*U278</f>
        <v/>
      </c>
    </row>
    <row r="279" s="11">
      <c r="U279" s="71">
        <f>S279*(1-T279)</f>
        <v/>
      </c>
      <c r="Y279" s="71">
        <f>X279*U279</f>
        <v/>
      </c>
    </row>
    <row r="280" s="11">
      <c r="U280" s="71">
        <f>S280*(1-T280)</f>
        <v/>
      </c>
      <c r="Y280" s="71">
        <f>X280*U280</f>
        <v/>
      </c>
    </row>
    <row r="281" s="11">
      <c r="U281" s="71">
        <f>S281*(1-T281)</f>
        <v/>
      </c>
      <c r="Y281" s="71">
        <f>X281*U281</f>
        <v/>
      </c>
    </row>
    <row r="282" s="11">
      <c r="U282" s="71">
        <f>S282*(1-T282)</f>
        <v/>
      </c>
      <c r="Y282" s="71">
        <f>X282*U282</f>
        <v/>
      </c>
    </row>
    <row r="283" s="11">
      <c r="U283" s="71">
        <f>S283*(1-T283)</f>
        <v/>
      </c>
      <c r="Y283" s="71">
        <f>X283*U283</f>
        <v/>
      </c>
    </row>
    <row r="284" s="11">
      <c r="U284" s="71">
        <f>S284*(1-T284)</f>
        <v/>
      </c>
      <c r="Y284" s="71">
        <f>X284*U284</f>
        <v/>
      </c>
    </row>
    <row r="285" s="11">
      <c r="U285" s="71">
        <f>S285*(1-T285)</f>
        <v/>
      </c>
      <c r="Y285" s="71">
        <f>X285*U285</f>
        <v/>
      </c>
    </row>
    <row r="286" s="11">
      <c r="U286" s="71">
        <f>S286*(1-T286)</f>
        <v/>
      </c>
      <c r="Y286" s="71">
        <f>X286*U286</f>
        <v/>
      </c>
    </row>
    <row r="287" s="11">
      <c r="U287" s="71">
        <f>S287*(1-T287)</f>
        <v/>
      </c>
      <c r="Y287" s="71">
        <f>X287*U287</f>
        <v/>
      </c>
    </row>
    <row r="288" s="11">
      <c r="U288" s="71">
        <f>S288*(1-T288)</f>
        <v/>
      </c>
      <c r="Y288" s="71">
        <f>X288*U288</f>
        <v/>
      </c>
    </row>
    <row r="289" s="11">
      <c r="U289" s="71">
        <f>S289*(1-T289)</f>
        <v/>
      </c>
      <c r="Y289" s="71">
        <f>X289*U289</f>
        <v/>
      </c>
    </row>
    <row r="290" s="11">
      <c r="U290" s="71">
        <f>S290*(1-T290)</f>
        <v/>
      </c>
      <c r="Y290" s="71">
        <f>X290*U290</f>
        <v/>
      </c>
    </row>
    <row r="291" s="11">
      <c r="U291" s="71">
        <f>S291*(1-T291)</f>
        <v/>
      </c>
      <c r="Y291" s="71">
        <f>X291*U291</f>
        <v/>
      </c>
    </row>
    <row r="292" s="11">
      <c r="U292" s="71">
        <f>S292*(1-T292)</f>
        <v/>
      </c>
      <c r="Y292" s="71">
        <f>X292*U292</f>
        <v/>
      </c>
    </row>
    <row r="293" s="11">
      <c r="U293" s="71">
        <f>S293*(1-T293)</f>
        <v/>
      </c>
      <c r="Y293" s="71">
        <f>X293*U293</f>
        <v/>
      </c>
    </row>
    <row r="294" s="11">
      <c r="U294" s="71">
        <f>S294*(1-T294)</f>
        <v/>
      </c>
      <c r="Y294" s="71">
        <f>X294*U294</f>
        <v/>
      </c>
    </row>
    <row r="295" s="11">
      <c r="U295" s="71">
        <f>S295*(1-T295)</f>
        <v/>
      </c>
      <c r="Y295" s="71">
        <f>X295*U295</f>
        <v/>
      </c>
    </row>
    <row r="296" s="11">
      <c r="U296" s="71">
        <f>S296*(1-T296)</f>
        <v/>
      </c>
      <c r="Y296" s="71">
        <f>X296*U296</f>
        <v/>
      </c>
    </row>
    <row r="297" s="11">
      <c r="U297" s="71">
        <f>S297*(1-T297)</f>
        <v/>
      </c>
      <c r="Y297" s="71">
        <f>X297*U297</f>
        <v/>
      </c>
    </row>
    <row r="298" s="11">
      <c r="U298" s="71">
        <f>S298*(1-T298)</f>
        <v/>
      </c>
      <c r="Y298" s="71">
        <f>X298*U298</f>
        <v/>
      </c>
    </row>
    <row r="299" s="11">
      <c r="U299" s="71">
        <f>S299*(1-T299)</f>
        <v/>
      </c>
      <c r="Y299" s="71">
        <f>X299*U299</f>
        <v/>
      </c>
    </row>
    <row r="300" s="11">
      <c r="U300" s="71">
        <f>S300*(1-T300)</f>
        <v/>
      </c>
      <c r="Y300" s="71">
        <f>X300*U300</f>
        <v/>
      </c>
    </row>
    <row r="301" s="11">
      <c r="U301" s="71">
        <f>S301*(1-T301)</f>
        <v/>
      </c>
      <c r="Y301" s="71">
        <f>X301*U301</f>
        <v/>
      </c>
    </row>
    <row r="302" s="11">
      <c r="U302" s="71">
        <f>S302*(1-T302)</f>
        <v/>
      </c>
      <c r="Y302" s="71">
        <f>X302*U302</f>
        <v/>
      </c>
    </row>
    <row r="303" s="11">
      <c r="U303" s="71">
        <f>S303*(1-T303)</f>
        <v/>
      </c>
      <c r="Y303" s="71">
        <f>X303*U303</f>
        <v/>
      </c>
    </row>
    <row r="304" s="11">
      <c r="U304" s="71">
        <f>S304*(1-T304)</f>
        <v/>
      </c>
      <c r="Y304" s="71">
        <f>X304*U304</f>
        <v/>
      </c>
    </row>
    <row r="305" s="11">
      <c r="U305" s="71">
        <f>S305*(1-T305)</f>
        <v/>
      </c>
      <c r="Y305" s="71">
        <f>X305*U305</f>
        <v/>
      </c>
    </row>
    <row r="306" s="11">
      <c r="U306" s="71">
        <f>S306*(1-T306)</f>
        <v/>
      </c>
      <c r="Y306" s="71">
        <f>X306*U306</f>
        <v/>
      </c>
    </row>
    <row r="307" s="11">
      <c r="U307" s="71">
        <f>S307*(1-T307)</f>
        <v/>
      </c>
      <c r="Y307" s="71">
        <f>X307*U307</f>
        <v/>
      </c>
    </row>
    <row r="308" s="11">
      <c r="U308" s="71">
        <f>S308*(1-T308)</f>
        <v/>
      </c>
      <c r="Y308" s="71">
        <f>X308*U308</f>
        <v/>
      </c>
    </row>
    <row r="309" s="11">
      <c r="U309" s="71">
        <f>S309*(1-T309)</f>
        <v/>
      </c>
      <c r="Y309" s="71">
        <f>X309*U309</f>
        <v/>
      </c>
    </row>
    <row r="310" s="11">
      <c r="U310" s="71">
        <f>S310*(1-T310)</f>
        <v/>
      </c>
      <c r="Y310" s="71">
        <f>X310*U310</f>
        <v/>
      </c>
    </row>
    <row r="311" s="11">
      <c r="U311" s="71">
        <f>S311*(1-T311)</f>
        <v/>
      </c>
      <c r="Y311" s="71">
        <f>X311*U311</f>
        <v/>
      </c>
    </row>
    <row r="312" s="11">
      <c r="U312" s="71">
        <f>S312*(1-T312)</f>
        <v/>
      </c>
      <c r="Y312" s="71">
        <f>X312*U312</f>
        <v/>
      </c>
    </row>
    <row r="313" s="11">
      <c r="U313" s="71">
        <f>S313*(1-T313)</f>
        <v/>
      </c>
      <c r="Y313" s="71">
        <f>X313*U313</f>
        <v/>
      </c>
    </row>
    <row r="314" s="11">
      <c r="U314" s="71">
        <f>S314*(1-T314)</f>
        <v/>
      </c>
      <c r="Y314" s="71">
        <f>X314*U314</f>
        <v/>
      </c>
    </row>
    <row r="315" s="11">
      <c r="U315" s="71">
        <f>S315*(1-T315)</f>
        <v/>
      </c>
      <c r="Y315" s="71">
        <f>X315*U315</f>
        <v/>
      </c>
    </row>
    <row r="316" s="11">
      <c r="U316" s="71">
        <f>S316*(1-T316)</f>
        <v/>
      </c>
      <c r="Y316" s="71">
        <f>X316*U316</f>
        <v/>
      </c>
    </row>
    <row r="317" s="11">
      <c r="U317" s="71">
        <f>S317*(1-T317)</f>
        <v/>
      </c>
      <c r="Y317" s="71">
        <f>X317*U317</f>
        <v/>
      </c>
    </row>
    <row r="318" s="11">
      <c r="U318" s="71">
        <f>S318*(1-T318)</f>
        <v/>
      </c>
      <c r="Y318" s="71">
        <f>X318*U318</f>
        <v/>
      </c>
    </row>
    <row r="319" s="11">
      <c r="U319" s="71">
        <f>S319*(1-T319)</f>
        <v/>
      </c>
      <c r="Y319" s="71">
        <f>X319*U319</f>
        <v/>
      </c>
    </row>
    <row r="320" s="11">
      <c r="U320" s="71">
        <f>S320*(1-T320)</f>
        <v/>
      </c>
      <c r="Y320" s="71">
        <f>X320*U320</f>
        <v/>
      </c>
    </row>
    <row r="321" s="11">
      <c r="U321" s="71">
        <f>S321*(1-T321)</f>
        <v/>
      </c>
      <c r="Y321" s="71">
        <f>X321*U321</f>
        <v/>
      </c>
    </row>
    <row r="322" s="11">
      <c r="U322" s="71">
        <f>S322*(1-T322)</f>
        <v/>
      </c>
      <c r="Y322" s="71">
        <f>X322*U322</f>
        <v/>
      </c>
    </row>
    <row r="323" s="11">
      <c r="U323" s="71">
        <f>S323*(1-T323)</f>
        <v/>
      </c>
      <c r="Y323" s="71">
        <f>X323*U323</f>
        <v/>
      </c>
    </row>
    <row r="324" s="11">
      <c r="U324" s="71">
        <f>S324*(1-T324)</f>
        <v/>
      </c>
      <c r="Y324" s="71">
        <f>X324*U324</f>
        <v/>
      </c>
    </row>
    <row r="325" s="11">
      <c r="U325" s="71">
        <f>S325*(1-T325)</f>
        <v/>
      </c>
      <c r="Y325" s="71">
        <f>X325*U325</f>
        <v/>
      </c>
    </row>
    <row r="326" s="11">
      <c r="U326" s="71">
        <f>S326*(1-T326)</f>
        <v/>
      </c>
      <c r="Y326" s="71">
        <f>X326*U326</f>
        <v/>
      </c>
    </row>
    <row r="327" s="11">
      <c r="U327" s="71">
        <f>S327*(1-T327)</f>
        <v/>
      </c>
      <c r="Y327" s="71">
        <f>X327*U327</f>
        <v/>
      </c>
    </row>
    <row r="328" s="11">
      <c r="U328" s="71">
        <f>S328*(1-T328)</f>
        <v/>
      </c>
      <c r="Y328" s="71">
        <f>X328*U328</f>
        <v/>
      </c>
    </row>
    <row r="329" s="11">
      <c r="U329" s="71">
        <f>S329*(1-T329)</f>
        <v/>
      </c>
      <c r="Y329" s="71">
        <f>X329*U329</f>
        <v/>
      </c>
    </row>
    <row r="330" s="11">
      <c r="U330" s="71">
        <f>S330*(1-T330)</f>
        <v/>
      </c>
      <c r="Y330" s="71">
        <f>X330*U330</f>
        <v/>
      </c>
    </row>
    <row r="331" s="11">
      <c r="U331" s="71">
        <f>S331*(1-T331)</f>
        <v/>
      </c>
      <c r="Y331" s="71">
        <f>X331*U331</f>
        <v/>
      </c>
    </row>
    <row r="332" s="11">
      <c r="U332" s="71">
        <f>S332*(1-T332)</f>
        <v/>
      </c>
      <c r="Y332" s="71">
        <f>X332*U332</f>
        <v/>
      </c>
    </row>
    <row r="333" s="11">
      <c r="U333" s="71">
        <f>S333*(1-T333)</f>
        <v/>
      </c>
      <c r="Y333" s="71">
        <f>X333*U333</f>
        <v/>
      </c>
    </row>
    <row r="334" s="11">
      <c r="U334" s="71">
        <f>S334*(1-T334)</f>
        <v/>
      </c>
      <c r="Y334" s="71">
        <f>X334*U334</f>
        <v/>
      </c>
    </row>
    <row r="335" s="11">
      <c r="U335" s="71">
        <f>S335*(1-T335)</f>
        <v/>
      </c>
      <c r="Y335" s="71">
        <f>X335*U335</f>
        <v/>
      </c>
    </row>
    <row r="336" s="11">
      <c r="U336" s="71">
        <f>S336*(1-T336)</f>
        <v/>
      </c>
      <c r="Y336" s="71">
        <f>X336*U336</f>
        <v/>
      </c>
    </row>
    <row r="337" s="11">
      <c r="U337" s="71">
        <f>S337*(1-T337)</f>
        <v/>
      </c>
      <c r="Y337" s="71">
        <f>X337*U337</f>
        <v/>
      </c>
    </row>
    <row r="338" s="11">
      <c r="U338" s="71">
        <f>S338*(1-T338)</f>
        <v/>
      </c>
      <c r="Y338" s="71">
        <f>X338*U338</f>
        <v/>
      </c>
    </row>
    <row r="339" s="11">
      <c r="U339" s="71">
        <f>S339*(1-T339)</f>
        <v/>
      </c>
      <c r="Y339" s="71">
        <f>X339*U339</f>
        <v/>
      </c>
    </row>
    <row r="340" s="11">
      <c r="U340" s="71">
        <f>S340*(1-T340)</f>
        <v/>
      </c>
      <c r="Y340" s="71">
        <f>X340*U340</f>
        <v/>
      </c>
    </row>
    <row r="341" s="11">
      <c r="U341" s="71">
        <f>S341*(1-T341)</f>
        <v/>
      </c>
      <c r="Y341" s="71">
        <f>X341*U341</f>
        <v/>
      </c>
    </row>
    <row r="342" s="11">
      <c r="U342" s="71">
        <f>S342*(1-T342)</f>
        <v/>
      </c>
      <c r="Y342" s="71">
        <f>X342*U342</f>
        <v/>
      </c>
    </row>
    <row r="343" s="11">
      <c r="U343" s="71">
        <f>S343*(1-T343)</f>
        <v/>
      </c>
      <c r="Y343" s="71">
        <f>X343*U343</f>
        <v/>
      </c>
    </row>
    <row r="344" s="11">
      <c r="U344" s="71">
        <f>S344*(1-T344)</f>
        <v/>
      </c>
      <c r="Y344" s="71">
        <f>X344*U344</f>
        <v/>
      </c>
    </row>
    <row r="345" s="11">
      <c r="U345" s="71">
        <f>S345*(1-T345)</f>
        <v/>
      </c>
      <c r="Y345" s="71">
        <f>X345*U345</f>
        <v/>
      </c>
    </row>
    <row r="346" s="11">
      <c r="U346" s="71">
        <f>S346*(1-T346)</f>
        <v/>
      </c>
      <c r="Y346" s="71">
        <f>X346*U346</f>
        <v/>
      </c>
    </row>
    <row r="347" s="11">
      <c r="U347" s="71">
        <f>S347*(1-T347)</f>
        <v/>
      </c>
      <c r="Y347" s="71">
        <f>X347*U347</f>
        <v/>
      </c>
    </row>
    <row r="348" s="11">
      <c r="U348" s="71">
        <f>S348*(1-T348)</f>
        <v/>
      </c>
      <c r="Y348" s="71">
        <f>X348*U348</f>
        <v/>
      </c>
    </row>
    <row r="349" s="11">
      <c r="U349" s="71">
        <f>S349*(1-T349)</f>
        <v/>
      </c>
      <c r="Y349" s="71">
        <f>X349*U349</f>
        <v/>
      </c>
    </row>
    <row r="350" s="11">
      <c r="U350" s="71">
        <f>S350*(1-T350)</f>
        <v/>
      </c>
      <c r="Y350" s="71">
        <f>X350*U350</f>
        <v/>
      </c>
    </row>
    <row r="351" s="11">
      <c r="U351" s="71">
        <f>S351*(1-T351)</f>
        <v/>
      </c>
      <c r="Y351" s="71">
        <f>X351*U351</f>
        <v/>
      </c>
    </row>
    <row r="352" s="11">
      <c r="U352" s="71">
        <f>S352*(1-T352)</f>
        <v/>
      </c>
      <c r="Y352" s="71">
        <f>X352*U352</f>
        <v/>
      </c>
    </row>
    <row r="353" s="11">
      <c r="U353" s="71">
        <f>S353*(1-T353)</f>
        <v/>
      </c>
      <c r="Y353" s="71">
        <f>X353*U353</f>
        <v/>
      </c>
    </row>
    <row r="354" s="11">
      <c r="U354" s="71">
        <f>S354*(1-T354)</f>
        <v/>
      </c>
      <c r="Y354" s="71">
        <f>X354*U354</f>
        <v/>
      </c>
    </row>
    <row r="355" s="11">
      <c r="U355" s="71">
        <f>S355*(1-T355)</f>
        <v/>
      </c>
      <c r="Y355" s="71">
        <f>X355*U355</f>
        <v/>
      </c>
    </row>
    <row r="356" s="11">
      <c r="U356" s="71">
        <f>S356*(1-T356)</f>
        <v/>
      </c>
      <c r="Y356" s="71">
        <f>X356*U356</f>
        <v/>
      </c>
    </row>
    <row r="357" s="11">
      <c r="U357" s="71">
        <f>S357*(1-T357)</f>
        <v/>
      </c>
      <c r="Y357" s="71">
        <f>X357*U357</f>
        <v/>
      </c>
    </row>
    <row r="358" s="11">
      <c r="U358" s="71">
        <f>S358*(1-T358)</f>
        <v/>
      </c>
      <c r="Y358" s="71">
        <f>X358*U358</f>
        <v/>
      </c>
    </row>
    <row r="359" s="11">
      <c r="U359" s="71">
        <f>S359*(1-T359)</f>
        <v/>
      </c>
      <c r="Y359" s="71">
        <f>X359*U359</f>
        <v/>
      </c>
    </row>
    <row r="360" s="11">
      <c r="U360" s="71">
        <f>S360*(1-T360)</f>
        <v/>
      </c>
      <c r="Y360" s="71">
        <f>X360*U360</f>
        <v/>
      </c>
    </row>
    <row r="361" s="11">
      <c r="U361" s="71">
        <f>S361*(1-T361)</f>
        <v/>
      </c>
      <c r="Y361" s="71">
        <f>X361*U361</f>
        <v/>
      </c>
    </row>
    <row r="362" s="11">
      <c r="U362" s="71">
        <f>S362*(1-T362)</f>
        <v/>
      </c>
      <c r="Y362" s="71">
        <f>X362*U362</f>
        <v/>
      </c>
    </row>
    <row r="363" s="11">
      <c r="U363" s="71">
        <f>S363*(1-T363)</f>
        <v/>
      </c>
      <c r="Y363" s="71">
        <f>X363*U363</f>
        <v/>
      </c>
    </row>
    <row r="364" s="11">
      <c r="U364" s="71">
        <f>S364*(1-T364)</f>
        <v/>
      </c>
      <c r="Y364" s="71">
        <f>X364*U364</f>
        <v/>
      </c>
    </row>
    <row r="365" s="11">
      <c r="U365" s="71">
        <f>S365*(1-T365)</f>
        <v/>
      </c>
      <c r="Y365" s="71">
        <f>X365*U365</f>
        <v/>
      </c>
    </row>
    <row r="366" s="11">
      <c r="U366" s="71">
        <f>S366*(1-T366)</f>
        <v/>
      </c>
      <c r="Y366" s="71">
        <f>X366*U366</f>
        <v/>
      </c>
    </row>
    <row r="367" s="11">
      <c r="U367" s="71">
        <f>S367*(1-T367)</f>
        <v/>
      </c>
      <c r="Y367" s="71">
        <f>X367*U367</f>
        <v/>
      </c>
    </row>
    <row r="368" s="11">
      <c r="U368" s="71">
        <f>S368*(1-T368)</f>
        <v/>
      </c>
      <c r="Y368" s="71">
        <f>X368*U368</f>
        <v/>
      </c>
    </row>
    <row r="369" s="11">
      <c r="U369" s="71">
        <f>S369*(1-T369)</f>
        <v/>
      </c>
      <c r="Y369" s="71">
        <f>X369*U369</f>
        <v/>
      </c>
    </row>
    <row r="370" s="11">
      <c r="U370" s="71">
        <f>S370*(1-T370)</f>
        <v/>
      </c>
      <c r="Y370" s="71">
        <f>X370*U370</f>
        <v/>
      </c>
    </row>
    <row r="371" s="11">
      <c r="U371" s="71">
        <f>S371*(1-T371)</f>
        <v/>
      </c>
      <c r="Y371" s="71">
        <f>X371*U371</f>
        <v/>
      </c>
    </row>
    <row r="372" s="11">
      <c r="U372" s="71">
        <f>S372*(1-T372)</f>
        <v/>
      </c>
      <c r="Y372" s="71">
        <f>X372*U372</f>
        <v/>
      </c>
    </row>
    <row r="373" s="11">
      <c r="U373" s="71">
        <f>S373*(1-T373)</f>
        <v/>
      </c>
      <c r="Y373" s="71">
        <f>X373*U373</f>
        <v/>
      </c>
    </row>
    <row r="374" s="11">
      <c r="U374" s="71">
        <f>S374*(1-T374)</f>
        <v/>
      </c>
      <c r="Y374" s="71">
        <f>X374*U374</f>
        <v/>
      </c>
    </row>
    <row r="375" s="11">
      <c r="U375" s="71">
        <f>S375*(1-T375)</f>
        <v/>
      </c>
      <c r="Y375" s="71">
        <f>X375*U375</f>
        <v/>
      </c>
    </row>
    <row r="376" s="11">
      <c r="U376" s="71">
        <f>S376*(1-T376)</f>
        <v/>
      </c>
      <c r="Y376" s="71">
        <f>X376*U376</f>
        <v/>
      </c>
    </row>
    <row r="377" s="11">
      <c r="U377" s="71">
        <f>S377*(1-T377)</f>
        <v/>
      </c>
      <c r="Y377" s="71">
        <f>X377*U377</f>
        <v/>
      </c>
    </row>
    <row r="378" s="11">
      <c r="U378" s="71">
        <f>S378*(1-T378)</f>
        <v/>
      </c>
      <c r="Y378" s="71">
        <f>X378*U378</f>
        <v/>
      </c>
    </row>
    <row r="379" s="11">
      <c r="U379" s="71">
        <f>S379*(1-T379)</f>
        <v/>
      </c>
      <c r="Y379" s="71">
        <f>X379*U379</f>
        <v/>
      </c>
    </row>
    <row r="380" s="11">
      <c r="U380" s="71">
        <f>S380*(1-T380)</f>
        <v/>
      </c>
      <c r="Y380" s="71">
        <f>X380*U380</f>
        <v/>
      </c>
    </row>
    <row r="381" s="11">
      <c r="U381" s="71">
        <f>S381*(1-T381)</f>
        <v/>
      </c>
      <c r="Y381" s="71">
        <f>X381*U381</f>
        <v/>
      </c>
    </row>
    <row r="382" s="11">
      <c r="U382" s="71">
        <f>S382*(1-T382)</f>
        <v/>
      </c>
      <c r="Y382" s="71">
        <f>X382*U382</f>
        <v/>
      </c>
    </row>
    <row r="383" s="11">
      <c r="U383" s="71">
        <f>S383*(1-T383)</f>
        <v/>
      </c>
      <c r="Y383" s="71">
        <f>X383*U383</f>
        <v/>
      </c>
    </row>
    <row r="384" s="11">
      <c r="U384" s="71">
        <f>S384*(1-T384)</f>
        <v/>
      </c>
      <c r="Y384" s="71">
        <f>X384*U384</f>
        <v/>
      </c>
    </row>
    <row r="385" s="11">
      <c r="U385" s="71">
        <f>S385*(1-T385)</f>
        <v/>
      </c>
      <c r="Y385" s="71">
        <f>X385*U385</f>
        <v/>
      </c>
    </row>
    <row r="386" s="11">
      <c r="U386" s="71">
        <f>S386*(1-T386)</f>
        <v/>
      </c>
      <c r="Y386" s="71">
        <f>X386*U386</f>
        <v/>
      </c>
    </row>
    <row r="387" s="11">
      <c r="U387" s="71">
        <f>S387*(1-T387)</f>
        <v/>
      </c>
      <c r="Y387" s="71">
        <f>X387*U387</f>
        <v/>
      </c>
    </row>
    <row r="388" s="11">
      <c r="U388" s="71">
        <f>S388*(1-T388)</f>
        <v/>
      </c>
      <c r="Y388" s="71">
        <f>X388*U388</f>
        <v/>
      </c>
    </row>
    <row r="389" s="11">
      <c r="U389" s="71">
        <f>S389*(1-T389)</f>
        <v/>
      </c>
      <c r="Y389" s="71">
        <f>X389*U389</f>
        <v/>
      </c>
    </row>
    <row r="390" s="11">
      <c r="U390" s="71">
        <f>S390*(1-T390)</f>
        <v/>
      </c>
      <c r="Y390" s="71">
        <f>X390*U390</f>
        <v/>
      </c>
    </row>
    <row r="391" s="11">
      <c r="U391" s="71">
        <f>S391*(1-T391)</f>
        <v/>
      </c>
      <c r="Y391" s="71">
        <f>X391*U391</f>
        <v/>
      </c>
    </row>
    <row r="392" s="11">
      <c r="U392" s="71">
        <f>S392*(1-T392)</f>
        <v/>
      </c>
      <c r="Y392" s="71">
        <f>X392*U392</f>
        <v/>
      </c>
    </row>
    <row r="393" s="11">
      <c r="U393" s="71">
        <f>S393*(1-T393)</f>
        <v/>
      </c>
      <c r="Y393" s="71">
        <f>X393*U393</f>
        <v/>
      </c>
    </row>
    <row r="394" s="11">
      <c r="U394" s="71">
        <f>S394*(1-T394)</f>
        <v/>
      </c>
      <c r="Y394" s="71">
        <f>X394*U394</f>
        <v/>
      </c>
    </row>
    <row r="395" s="11">
      <c r="U395" s="71">
        <f>S395*(1-T395)</f>
        <v/>
      </c>
      <c r="Y395" s="71">
        <f>X395*U395</f>
        <v/>
      </c>
    </row>
    <row r="396" s="11">
      <c r="U396" s="71">
        <f>S396*(1-T396)</f>
        <v/>
      </c>
      <c r="Y396" s="71">
        <f>X396*U396</f>
        <v/>
      </c>
    </row>
    <row r="397" s="11">
      <c r="U397" s="71">
        <f>S397*(1-T397)</f>
        <v/>
      </c>
      <c r="Y397" s="71">
        <f>X397*U397</f>
        <v/>
      </c>
    </row>
    <row r="398" s="11">
      <c r="U398" s="71">
        <f>S398*(1-T398)</f>
        <v/>
      </c>
      <c r="Y398" s="71">
        <f>X398*U398</f>
        <v/>
      </c>
    </row>
    <row r="399" s="11">
      <c r="U399" s="71">
        <f>S399*(1-T399)</f>
        <v/>
      </c>
      <c r="Y399" s="71">
        <f>X399*U399</f>
        <v/>
      </c>
    </row>
    <row r="400" s="11">
      <c r="U400" s="71">
        <f>S400*(1-T400)</f>
        <v/>
      </c>
      <c r="Y400" s="71">
        <f>X400*U400</f>
        <v/>
      </c>
    </row>
    <row r="401" s="11">
      <c r="U401" s="71">
        <f>S401*(1-T401)</f>
        <v/>
      </c>
      <c r="Y401" s="71">
        <f>X401*U401</f>
        <v/>
      </c>
    </row>
    <row r="402" s="11">
      <c r="U402" s="71">
        <f>S402*(1-T402)</f>
        <v/>
      </c>
      <c r="Y402" s="71">
        <f>X402*U402</f>
        <v/>
      </c>
    </row>
    <row r="403" s="11">
      <c r="U403" s="71">
        <f>S403*(1-T403)</f>
        <v/>
      </c>
      <c r="Y403" s="71">
        <f>X403*U403</f>
        <v/>
      </c>
    </row>
    <row r="404" s="11">
      <c r="U404" s="71">
        <f>S404*(1-T404)</f>
        <v/>
      </c>
      <c r="Y404" s="71">
        <f>X404*U404</f>
        <v/>
      </c>
    </row>
    <row r="405" s="11">
      <c r="U405" s="71">
        <f>S405*(1-T405)</f>
        <v/>
      </c>
      <c r="Y405" s="71">
        <f>X405*U405</f>
        <v/>
      </c>
    </row>
    <row r="406" s="11">
      <c r="U406" s="71">
        <f>S406*(1-T406)</f>
        <v/>
      </c>
      <c r="Y406" s="71">
        <f>X406*U406</f>
        <v/>
      </c>
    </row>
    <row r="407" s="11">
      <c r="U407" s="71">
        <f>S407*(1-T407)</f>
        <v/>
      </c>
      <c r="Y407" s="71">
        <f>X407*U407</f>
        <v/>
      </c>
    </row>
    <row r="408" s="11">
      <c r="U408" s="71">
        <f>S408*(1-T408)</f>
        <v/>
      </c>
      <c r="Y408" s="71">
        <f>X408*U408</f>
        <v/>
      </c>
    </row>
    <row r="409" s="11">
      <c r="U409" s="71">
        <f>S409*(1-T409)</f>
        <v/>
      </c>
      <c r="Y409" s="71">
        <f>X409*U409</f>
        <v/>
      </c>
    </row>
    <row r="410" s="11">
      <c r="U410" s="71">
        <f>S410*(1-T410)</f>
        <v/>
      </c>
      <c r="Y410" s="71">
        <f>X410*U410</f>
        <v/>
      </c>
    </row>
    <row r="411" s="11">
      <c r="U411" s="71">
        <f>S411*(1-T411)</f>
        <v/>
      </c>
      <c r="Y411" s="71">
        <f>X411*U411</f>
        <v/>
      </c>
    </row>
    <row r="412" s="11">
      <c r="U412" s="71">
        <f>S412*(1-T412)</f>
        <v/>
      </c>
      <c r="Y412" s="71">
        <f>X412*U412</f>
        <v/>
      </c>
    </row>
    <row r="413" s="11">
      <c r="U413" s="71">
        <f>S413*(1-T413)</f>
        <v/>
      </c>
      <c r="Y413" s="71">
        <f>X413*U413</f>
        <v/>
      </c>
    </row>
    <row r="414" s="11">
      <c r="U414" s="71">
        <f>S414*(1-T414)</f>
        <v/>
      </c>
      <c r="Y414" s="71">
        <f>X414*U414</f>
        <v/>
      </c>
    </row>
    <row r="415" s="11">
      <c r="U415" s="71">
        <f>S415*(1-T415)</f>
        <v/>
      </c>
      <c r="Y415" s="71">
        <f>X415*U415</f>
        <v/>
      </c>
    </row>
    <row r="416" s="11">
      <c r="U416" s="71">
        <f>S416*(1-T416)</f>
        <v/>
      </c>
      <c r="Y416" s="71">
        <f>X416*U416</f>
        <v/>
      </c>
    </row>
    <row r="417" s="11">
      <c r="U417" s="71">
        <f>S417*(1-T417)</f>
        <v/>
      </c>
      <c r="Y417" s="71">
        <f>X417*U417</f>
        <v/>
      </c>
    </row>
    <row r="418" s="11">
      <c r="U418" s="71">
        <f>S418*(1-T418)</f>
        <v/>
      </c>
      <c r="Y418" s="71">
        <f>X418*U418</f>
        <v/>
      </c>
    </row>
    <row r="419" s="11">
      <c r="U419" s="71">
        <f>S419*(1-T419)</f>
        <v/>
      </c>
      <c r="Y419" s="71">
        <f>X419*U419</f>
        <v/>
      </c>
    </row>
    <row r="420" s="11">
      <c r="U420" s="71">
        <f>S420*(1-T420)</f>
        <v/>
      </c>
      <c r="Y420" s="71">
        <f>X420*U420</f>
        <v/>
      </c>
    </row>
    <row r="421" s="11">
      <c r="U421" s="71">
        <f>S421*(1-T421)</f>
        <v/>
      </c>
      <c r="Y421" s="71">
        <f>X421*U421</f>
        <v/>
      </c>
    </row>
    <row r="422" s="11">
      <c r="U422" s="71">
        <f>S422*(1-T422)</f>
        <v/>
      </c>
      <c r="Y422" s="71">
        <f>X422*U422</f>
        <v/>
      </c>
    </row>
    <row r="423" s="11">
      <c r="U423" s="71">
        <f>S423*(1-T423)</f>
        <v/>
      </c>
      <c r="Y423" s="71">
        <f>X423*U423</f>
        <v/>
      </c>
    </row>
    <row r="424" s="11">
      <c r="U424" s="71">
        <f>S424*(1-T424)</f>
        <v/>
      </c>
      <c r="Y424" s="71">
        <f>X424*U424</f>
        <v/>
      </c>
    </row>
    <row r="425" s="11">
      <c r="U425" s="71">
        <f>S425*(1-T425)</f>
        <v/>
      </c>
      <c r="Y425" s="71">
        <f>X425*U425</f>
        <v/>
      </c>
    </row>
    <row r="426" s="11">
      <c r="U426" s="71">
        <f>S426*(1-T426)</f>
        <v/>
      </c>
      <c r="Y426" s="71">
        <f>X426*U426</f>
        <v/>
      </c>
    </row>
    <row r="427" s="11">
      <c r="U427" s="71">
        <f>S427*(1-T427)</f>
        <v/>
      </c>
      <c r="Y427" s="71">
        <f>X427*U427</f>
        <v/>
      </c>
    </row>
    <row r="428" s="11">
      <c r="U428" s="71">
        <f>S428*(1-T428)</f>
        <v/>
      </c>
      <c r="Y428" s="71">
        <f>X428*U428</f>
        <v/>
      </c>
    </row>
    <row r="429" s="11">
      <c r="U429" s="71">
        <f>S429*(1-T429)</f>
        <v/>
      </c>
      <c r="Y429" s="71">
        <f>X429*U429</f>
        <v/>
      </c>
    </row>
    <row r="430" s="11">
      <c r="U430" s="71">
        <f>S430*(1-T430)</f>
        <v/>
      </c>
      <c r="Y430" s="71">
        <f>X430*U430</f>
        <v/>
      </c>
    </row>
    <row r="431" s="11">
      <c r="U431" s="71">
        <f>S431*(1-T431)</f>
        <v/>
      </c>
      <c r="Y431" s="71">
        <f>X431*U431</f>
        <v/>
      </c>
    </row>
    <row r="432" s="11">
      <c r="U432" s="71">
        <f>S432*(1-T432)</f>
        <v/>
      </c>
      <c r="Y432" s="71">
        <f>X432*U432</f>
        <v/>
      </c>
    </row>
    <row r="433" s="11">
      <c r="U433" s="71">
        <f>S433*(1-T433)</f>
        <v/>
      </c>
      <c r="Y433" s="71">
        <f>X433*U433</f>
        <v/>
      </c>
    </row>
    <row r="434" s="11">
      <c r="U434" s="71">
        <f>S434*(1-T434)</f>
        <v/>
      </c>
      <c r="Y434" s="71">
        <f>X434*U434</f>
        <v/>
      </c>
    </row>
    <row r="435" s="11">
      <c r="U435" s="71">
        <f>S435*(1-T435)</f>
        <v/>
      </c>
      <c r="Y435" s="71">
        <f>X435*U435</f>
        <v/>
      </c>
    </row>
    <row r="436" s="11">
      <c r="U436" s="71">
        <f>S436*(1-T436)</f>
        <v/>
      </c>
      <c r="Y436" s="71">
        <f>X436*U436</f>
        <v/>
      </c>
    </row>
    <row r="437" s="11">
      <c r="U437" s="71">
        <f>S437*(1-T437)</f>
        <v/>
      </c>
      <c r="Y437" s="71">
        <f>X437*U437</f>
        <v/>
      </c>
    </row>
    <row r="438" s="11">
      <c r="U438" s="71">
        <f>S438*(1-T438)</f>
        <v/>
      </c>
      <c r="Y438" s="71">
        <f>X438*U438</f>
        <v/>
      </c>
    </row>
    <row r="439" s="11">
      <c r="U439" s="71">
        <f>S439*(1-T439)</f>
        <v/>
      </c>
      <c r="Y439" s="71">
        <f>X439*U439</f>
        <v/>
      </c>
    </row>
    <row r="440" s="11">
      <c r="U440" s="71">
        <f>S440*(1-T440)</f>
        <v/>
      </c>
      <c r="Y440" s="71">
        <f>X440*U440</f>
        <v/>
      </c>
    </row>
    <row r="441" s="11">
      <c r="U441" s="71">
        <f>S441*(1-T441)</f>
        <v/>
      </c>
      <c r="Y441" s="71">
        <f>X441*U441</f>
        <v/>
      </c>
    </row>
    <row r="442" s="11">
      <c r="U442" s="71">
        <f>S442*(1-T442)</f>
        <v/>
      </c>
      <c r="Y442" s="71">
        <f>X442*U442</f>
        <v/>
      </c>
    </row>
    <row r="443" s="11">
      <c r="U443" s="71">
        <f>S443*(1-T443)</f>
        <v/>
      </c>
      <c r="Y443" s="71">
        <f>X443*U443</f>
        <v/>
      </c>
    </row>
    <row r="444" s="11">
      <c r="U444" s="71">
        <f>S444*(1-T444)</f>
        <v/>
      </c>
      <c r="Y444" s="71">
        <f>X444*U444</f>
        <v/>
      </c>
    </row>
    <row r="445" s="11">
      <c r="U445" s="71">
        <f>S445*(1-T445)</f>
        <v/>
      </c>
      <c r="Y445" s="71">
        <f>X445*U445</f>
        <v/>
      </c>
    </row>
    <row r="446" s="11">
      <c r="U446" s="71">
        <f>S446*(1-T446)</f>
        <v/>
      </c>
      <c r="Y446" s="71">
        <f>X446*U446</f>
        <v/>
      </c>
    </row>
    <row r="447" s="11">
      <c r="U447" s="71">
        <f>S447*(1-T447)</f>
        <v/>
      </c>
      <c r="Y447" s="71">
        <f>X447*U447</f>
        <v/>
      </c>
    </row>
    <row r="448" s="11">
      <c r="U448" s="71">
        <f>S448*(1-T448)</f>
        <v/>
      </c>
      <c r="Y448" s="71">
        <f>X448*U448</f>
        <v/>
      </c>
    </row>
    <row r="449" s="11">
      <c r="U449" s="71">
        <f>S449*(1-T449)</f>
        <v/>
      </c>
      <c r="Y449" s="71">
        <f>X449*U449</f>
        <v/>
      </c>
    </row>
    <row r="450" s="11">
      <c r="U450" s="71">
        <f>S450*(1-T450)</f>
        <v/>
      </c>
      <c r="Y450" s="71">
        <f>X450*U450</f>
        <v/>
      </c>
    </row>
    <row r="451" s="11">
      <c r="U451" s="71">
        <f>S451*(1-T451)</f>
        <v/>
      </c>
      <c r="Y451" s="71">
        <f>X451*U451</f>
        <v/>
      </c>
    </row>
    <row r="452" s="11">
      <c r="U452" s="71">
        <f>S452*(1-T452)</f>
        <v/>
      </c>
      <c r="Y452" s="71">
        <f>X452*U452</f>
        <v/>
      </c>
    </row>
    <row r="453" s="11">
      <c r="U453" s="71">
        <f>S453*(1-T453)</f>
        <v/>
      </c>
      <c r="Y453" s="71">
        <f>X453*U453</f>
        <v/>
      </c>
    </row>
    <row r="454" s="11">
      <c r="U454" s="71">
        <f>S454*(1-T454)</f>
        <v/>
      </c>
      <c r="Y454" s="71">
        <f>X454*U454</f>
        <v/>
      </c>
    </row>
    <row r="455" s="11">
      <c r="U455" s="71">
        <f>S455*(1-T455)</f>
        <v/>
      </c>
      <c r="Y455" s="71">
        <f>X455*U455</f>
        <v/>
      </c>
    </row>
    <row r="456" s="11">
      <c r="U456" s="71">
        <f>S456*(1-T456)</f>
        <v/>
      </c>
      <c r="Y456" s="71">
        <f>X456*U456</f>
        <v/>
      </c>
    </row>
    <row r="457" s="11">
      <c r="U457" s="71">
        <f>S457*(1-T457)</f>
        <v/>
      </c>
      <c r="Y457" s="71">
        <f>X457*U457</f>
        <v/>
      </c>
    </row>
    <row r="458" s="11">
      <c r="U458" s="71">
        <f>S458*(1-T458)</f>
        <v/>
      </c>
      <c r="Y458" s="71">
        <f>X458*U458</f>
        <v/>
      </c>
    </row>
    <row r="459" s="11">
      <c r="U459" s="71">
        <f>S459*(1-T459)</f>
        <v/>
      </c>
      <c r="Y459" s="71">
        <f>X459*U459</f>
        <v/>
      </c>
    </row>
    <row r="460" s="11">
      <c r="U460" s="71">
        <f>S460*(1-T460)</f>
        <v/>
      </c>
      <c r="Y460" s="71">
        <f>X460*U460</f>
        <v/>
      </c>
    </row>
    <row r="461" s="11">
      <c r="U461" s="71">
        <f>S461*(1-T461)</f>
        <v/>
      </c>
      <c r="Y461" s="71">
        <f>X461*U461</f>
        <v/>
      </c>
    </row>
    <row r="462" s="11">
      <c r="U462" s="71">
        <f>S462*(1-T462)</f>
        <v/>
      </c>
      <c r="Y462" s="71">
        <f>X462*U462</f>
        <v/>
      </c>
    </row>
    <row r="463" s="11">
      <c r="U463" s="71">
        <f>S463*(1-T463)</f>
        <v/>
      </c>
      <c r="Y463" s="71">
        <f>X463*U463</f>
        <v/>
      </c>
    </row>
    <row r="464" s="11">
      <c r="U464" s="71">
        <f>S464*(1-T464)</f>
        <v/>
      </c>
      <c r="Y464" s="71">
        <f>X464*U464</f>
        <v/>
      </c>
    </row>
    <row r="465" s="11">
      <c r="U465" s="71">
        <f>S465*(1-T465)</f>
        <v/>
      </c>
      <c r="Y465" s="71">
        <f>X465*U465</f>
        <v/>
      </c>
    </row>
    <row r="466" s="11">
      <c r="U466" s="71">
        <f>S466*(1-T466)</f>
        <v/>
      </c>
      <c r="Y466" s="71">
        <f>X466*U466</f>
        <v/>
      </c>
    </row>
    <row r="467" s="11">
      <c r="U467" s="71">
        <f>S467*(1-T467)</f>
        <v/>
      </c>
      <c r="Y467" s="71">
        <f>X467*U467</f>
        <v/>
      </c>
    </row>
    <row r="468" s="11">
      <c r="U468" s="71">
        <f>S468*(1-T468)</f>
        <v/>
      </c>
      <c r="Y468" s="71">
        <f>X468*U468</f>
        <v/>
      </c>
    </row>
    <row r="469" s="11">
      <c r="U469" s="71">
        <f>S469*(1-T469)</f>
        <v/>
      </c>
      <c r="Y469" s="71">
        <f>X469*U469</f>
        <v/>
      </c>
    </row>
    <row r="470" s="11">
      <c r="U470" s="71">
        <f>S470*(1-T470)</f>
        <v/>
      </c>
      <c r="Y470" s="71">
        <f>X470*U470</f>
        <v/>
      </c>
    </row>
    <row r="471" s="11">
      <c r="U471" s="71">
        <f>S471*(1-T471)</f>
        <v/>
      </c>
      <c r="Y471" s="71">
        <f>X471*U471</f>
        <v/>
      </c>
    </row>
    <row r="472" s="11">
      <c r="U472" s="71">
        <f>S472*(1-T472)</f>
        <v/>
      </c>
      <c r="Y472" s="71">
        <f>X472*U472</f>
        <v/>
      </c>
    </row>
    <row r="473" s="11">
      <c r="U473" s="71">
        <f>S473*(1-T473)</f>
        <v/>
      </c>
      <c r="Y473" s="71">
        <f>X473*U473</f>
        <v/>
      </c>
    </row>
    <row r="474" s="11">
      <c r="U474" s="71">
        <f>S474*(1-T474)</f>
        <v/>
      </c>
      <c r="Y474" s="71">
        <f>X474*U474</f>
        <v/>
      </c>
    </row>
    <row r="475" s="11">
      <c r="U475" s="71">
        <f>S475*(1-T475)</f>
        <v/>
      </c>
      <c r="Y475" s="71">
        <f>X475*U475</f>
        <v/>
      </c>
    </row>
    <row r="476" s="11">
      <c r="U476" s="71">
        <f>S476*(1-T476)</f>
        <v/>
      </c>
      <c r="Y476" s="71">
        <f>X476*U476</f>
        <v/>
      </c>
    </row>
    <row r="477" s="11">
      <c r="U477" s="71">
        <f>S477*(1-T477)</f>
        <v/>
      </c>
      <c r="Y477" s="71">
        <f>X477*U477</f>
        <v/>
      </c>
    </row>
    <row r="478" s="11">
      <c r="U478" s="71">
        <f>S478*(1-T478)</f>
        <v/>
      </c>
      <c r="Y478" s="71">
        <f>X478*U478</f>
        <v/>
      </c>
    </row>
    <row r="479" s="11">
      <c r="U479" s="71">
        <f>S479*(1-T479)</f>
        <v/>
      </c>
      <c r="Y479" s="71">
        <f>X479*U479</f>
        <v/>
      </c>
    </row>
    <row r="480" s="11">
      <c r="U480" s="71">
        <f>S480*(1-T480)</f>
        <v/>
      </c>
      <c r="Y480" s="71">
        <f>X480*U480</f>
        <v/>
      </c>
    </row>
    <row r="481" s="11">
      <c r="U481" s="71">
        <f>S481*(1-T481)</f>
        <v/>
      </c>
      <c r="Y481" s="71">
        <f>X481*U481</f>
        <v/>
      </c>
    </row>
    <row r="482" s="11">
      <c r="U482" s="71">
        <f>S482*(1-T482)</f>
        <v/>
      </c>
      <c r="Y482" s="71">
        <f>X482*U482</f>
        <v/>
      </c>
    </row>
    <row r="483" s="11">
      <c r="U483" s="71">
        <f>S483*(1-T483)</f>
        <v/>
      </c>
      <c r="Y483" s="71">
        <f>X483*U483</f>
        <v/>
      </c>
    </row>
    <row r="484" s="11">
      <c r="U484" s="71">
        <f>S484*(1-T484)</f>
        <v/>
      </c>
      <c r="Y484" s="71">
        <f>X484*U484</f>
        <v/>
      </c>
    </row>
    <row r="485" s="11">
      <c r="U485" s="71">
        <f>S485*(1-T485)</f>
        <v/>
      </c>
      <c r="Y485" s="71">
        <f>X485*U485</f>
        <v/>
      </c>
    </row>
    <row r="486" s="11">
      <c r="U486" s="71">
        <f>S486*(1-T486)</f>
        <v/>
      </c>
      <c r="Y486" s="71">
        <f>X486*U486</f>
        <v/>
      </c>
    </row>
    <row r="487" s="11">
      <c r="U487" s="71">
        <f>S487*(1-T487)</f>
        <v/>
      </c>
      <c r="Y487" s="71">
        <f>X487*U487</f>
        <v/>
      </c>
    </row>
    <row r="488" s="11">
      <c r="U488" s="71">
        <f>S488*(1-T488)</f>
        <v/>
      </c>
      <c r="Y488" s="71">
        <f>X488*U488</f>
        <v/>
      </c>
    </row>
    <row r="489" s="11">
      <c r="U489" s="71">
        <f>S489*(1-T489)</f>
        <v/>
      </c>
      <c r="Y489" s="71">
        <f>X489*U489</f>
        <v/>
      </c>
    </row>
    <row r="490" s="11">
      <c r="U490" s="71">
        <f>S490*(1-T490)</f>
        <v/>
      </c>
      <c r="Y490" s="71">
        <f>X490*U490</f>
        <v/>
      </c>
    </row>
    <row r="491" s="11">
      <c r="U491" s="71">
        <f>S491*(1-T491)</f>
        <v/>
      </c>
      <c r="Y491" s="71">
        <f>X491*U491</f>
        <v/>
      </c>
    </row>
    <row r="492" s="11">
      <c r="U492" s="71">
        <f>S492*(1-T492)</f>
        <v/>
      </c>
      <c r="Y492" s="71">
        <f>X492*U492</f>
        <v/>
      </c>
    </row>
    <row r="493" s="11">
      <c r="U493" s="71">
        <f>S493*(1-T493)</f>
        <v/>
      </c>
      <c r="Y493" s="71">
        <f>X493*U493</f>
        <v/>
      </c>
    </row>
    <row r="494" s="11">
      <c r="U494" s="71">
        <f>S494*(1-T494)</f>
        <v/>
      </c>
      <c r="Y494" s="71">
        <f>X494*U494</f>
        <v/>
      </c>
    </row>
    <row r="495" s="11">
      <c r="U495" s="71">
        <f>S495*(1-T495)</f>
        <v/>
      </c>
      <c r="Y495" s="71">
        <f>X495*U495</f>
        <v/>
      </c>
    </row>
    <row r="496" s="11">
      <c r="U496" s="71">
        <f>S496*(1-T496)</f>
        <v/>
      </c>
      <c r="Y496" s="71">
        <f>X496*U496</f>
        <v/>
      </c>
    </row>
    <row r="497" s="11">
      <c r="U497" s="71">
        <f>S497*(1-T497)</f>
        <v/>
      </c>
      <c r="Y497" s="71">
        <f>X497*U497</f>
        <v/>
      </c>
    </row>
    <row r="498" s="11">
      <c r="U498" s="71">
        <f>S498*(1-T498)</f>
        <v/>
      </c>
      <c r="Y498" s="71">
        <f>X498*U498</f>
        <v/>
      </c>
    </row>
    <row r="499" s="11">
      <c r="U499" s="71">
        <f>S499*(1-T499)</f>
        <v/>
      </c>
      <c r="Y499" s="71">
        <f>X499*U499</f>
        <v/>
      </c>
    </row>
    <row r="500" s="11">
      <c r="U500" s="71">
        <f>S500*(1-T500)</f>
        <v/>
      </c>
      <c r="Y500" s="71">
        <f>X500*U500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dataValidations count="1">
    <dataValidation sqref="O3:O500" showDropDown="0" showInputMessage="0" showErrorMessage="1" allowBlank="1" errorTitle="Invalid Frequency" error="Please choose one of: Weekly, Biweekly, Monthly, Bi-Monthly, Quarterly, Semi-Annually, Annually, One-time" type="list">
      <formula1>"Weekly,Biweekly,Monthly,Bi-Monthly,Quarterly,Semi-Annually,Annually,One-time"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00"/>
  <sheetViews>
    <sheetView workbookViewId="0">
      <pane ySplit="2" topLeftCell="A3" activePane="bottomLeft" state="frozen"/>
      <selection pane="bottomLeft" activeCell="M10" sqref="M10"/>
    </sheetView>
  </sheetViews>
  <sheetFormatPr baseColWidth="8" defaultRowHeight="14.5"/>
  <cols>
    <col width="11" customWidth="1" style="11" min="1" max="1"/>
    <col width="12" customWidth="1" style="11" min="2" max="2"/>
    <col width="20" customWidth="1" style="11" min="3" max="3"/>
    <col width="12" customWidth="1" style="11" min="4" max="4"/>
    <col width="18" customWidth="1" style="11" min="5" max="5"/>
    <col width="16" customWidth="1" style="11" min="6" max="6"/>
    <col width="7" customWidth="1" style="11" min="7" max="8"/>
    <col width="10" customWidth="1" style="11" min="8" max="8"/>
    <col width="12" customWidth="1" style="11" min="9" max="11"/>
    <col width="11" customWidth="1" style="11" min="10" max="10"/>
    <col width="10" customWidth="1" style="11" min="11" max="11"/>
    <col width="18" customWidth="1" style="11" min="12" max="12"/>
    <col width="10" customWidth="1" style="11" min="13" max="14"/>
    <col width="10" customWidth="1" style="11" min="14" max="14"/>
    <col width="9" customWidth="1" style="11" min="15" max="15"/>
    <col width="15.1796875" customWidth="1" style="11" min="16" max="16"/>
    <col width="24.81640625" customWidth="1" style="11" min="17" max="17"/>
    <col width="10" customWidth="1" style="11" min="18" max="19"/>
    <col width="10" customWidth="1" style="11" min="19" max="19"/>
    <col width="10" customWidth="1" style="11" min="20" max="20"/>
    <col width="14" customWidth="1" style="3" min="21" max="22"/>
    <col width="10" customWidth="1" style="11" min="22" max="22"/>
    <col width="11" customWidth="1" style="11" min="23" max="26"/>
    <col width="10" customWidth="1" style="11" min="24" max="24"/>
    <col width="10" customWidth="1" style="11" min="25" max="25"/>
    <col width="10" customWidth="1" style="11" min="26" max="26"/>
    <col width="9" customWidth="1" style="11" min="27" max="27"/>
    <col width="11" customWidth="1" style="11" min="28" max="28"/>
    <col width="12" customWidth="1" style="11" min="29" max="29"/>
    <col width="11" customWidth="1" style="11" min="30" max="30"/>
    <col width="13" customWidth="1" style="11" min="31" max="31"/>
    <col width="10" customWidth="1" style="11" min="32" max="32"/>
    <col width="18" customWidth="1" style="11" min="33" max="33"/>
    <col width="10" customWidth="1" style="11" min="34" max="34"/>
    <col width="10" customWidth="1" style="11" min="35" max="35"/>
  </cols>
  <sheetData>
    <row r="1" ht="18" customHeight="1" s="11">
      <c r="A1" s="77" t="inlineStr">
        <is>
          <t>📅  JOBS &amp; SCHEDULE — All Service Appointments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  <c r="T1" s="77" t="n"/>
      <c r="U1" s="77" t="n"/>
      <c r="V1" s="77" t="n"/>
      <c r="W1" s="77" t="n"/>
      <c r="X1" s="77" t="n"/>
      <c r="Y1" s="77" t="n"/>
      <c r="Z1" s="77" t="n"/>
      <c r="AA1" s="77" t="n"/>
      <c r="AB1" s="77" t="n"/>
      <c r="AC1" s="77" t="n"/>
      <c r="AD1" s="77" t="n"/>
      <c r="AE1" s="77" t="n"/>
      <c r="AF1" s="77" t="n"/>
      <c r="AG1" s="77" t="n"/>
      <c r="AH1" s="77" t="n"/>
      <c r="AI1" s="77" t="n"/>
      <c r="AJ1" s="77" t="n"/>
    </row>
    <row r="2" ht="52" customHeight="1" s="11">
      <c r="A2" s="13" t="inlineStr">
        <is>
          <t>JobID
(JOB-####)</t>
        </is>
      </c>
      <c r="B2" s="13" t="inlineStr">
        <is>
          <t>CustomerID
(Customers!A)</t>
        </is>
      </c>
      <c r="C2" s="13" t="inlineStr">
        <is>
          <t>Customer Name
/ Company</t>
        </is>
      </c>
      <c r="D2" s="13" t="inlineStr">
        <is>
          <t>Customer
Type</t>
        </is>
      </c>
      <c r="E2" s="13" t="inlineStr">
        <is>
          <t>Street Address
★ AI Route</t>
        </is>
      </c>
      <c r="F2" s="13" t="inlineStr">
        <is>
          <t>City
★ AI Route</t>
        </is>
      </c>
      <c r="G2" s="13" t="inlineStr">
        <is>
          <t>State</t>
        </is>
      </c>
      <c r="H2" s="13" t="inlineStr">
        <is>
          <t>ZIP
★ AI Route</t>
        </is>
      </c>
      <c r="I2" s="13" t="inlineStr">
        <is>
          <t>Latitude
(AI Geocode)</t>
        </is>
      </c>
      <c r="J2" s="13" t="inlineStr">
        <is>
          <t>Longitude
(AI Geocode)</t>
        </is>
      </c>
      <c r="K2" s="13" t="inlineStr">
        <is>
          <t>Service
Date</t>
        </is>
      </c>
      <c r="L2" s="13" t="inlineStr">
        <is>
          <t>End Date
(blank = single-day job)</t>
        </is>
      </c>
      <c r="M2" s="13" t="inlineStr">
        <is>
          <t>Day of
Week</t>
        </is>
      </c>
      <c r="N2" s="13" t="inlineStr">
        <is>
          <t>Start
Time</t>
        </is>
      </c>
      <c r="O2" s="13" t="inlineStr">
        <is>
          <t>End
Time</t>
        </is>
      </c>
      <c r="P2" s="13" t="inlineStr">
        <is>
          <t>Service
Type</t>
        </is>
      </c>
      <c r="Q2" s="13" t="inlineStr">
        <is>
          <t>Service
Details / Notes</t>
        </is>
      </c>
      <c r="R2" s="13" t="inlineStr">
        <is>
          <t>Crew /
Technician</t>
        </is>
      </c>
      <c r="S2" s="13" t="inlineStr">
        <is>
          <t>Est.
Duration</t>
        </is>
      </c>
      <c r="T2" s="13" t="inlineStr">
        <is>
          <t>Est.
Duration
Unit</t>
        </is>
      </c>
      <c r="U2" s="13" t="inlineStr">
        <is>
          <t>Actual
Duration</t>
        </is>
      </c>
      <c r="V2" s="13" t="inlineStr">
        <is>
          <t>Actual
Duration
Unit</t>
        </is>
      </c>
      <c r="W2" s="13" t="inlineStr">
        <is>
          <t>Route
Stop #
★ AI Route</t>
        </is>
      </c>
      <c r="X2" s="13" t="inlineStr">
        <is>
          <t>Route
Map URL
★ AI Prowler</t>
        </is>
      </c>
      <c r="Y2" s="13" t="inlineStr">
        <is>
          <t>Weather
Check
★ AI Prowler</t>
        </is>
      </c>
      <c r="Z2" s="13" t="inlineStr">
        <is>
          <t>Job
Status</t>
        </is>
      </c>
      <c r="AA2" s="13" t="inlineStr">
        <is>
          <t>Quote
Amount ($)</t>
        </is>
      </c>
      <c r="AB2" s="13" t="inlineStr">
        <is>
          <t>Discount
Applied ($)</t>
        </is>
      </c>
      <c r="AC2" s="13" t="inlineStr">
        <is>
          <t>Actual
Amount ($)
=Quote-Discount</t>
        </is>
      </c>
      <c r="AD2" s="13" t="inlineStr">
        <is>
          <t>Tax
(Tax%)</t>
        </is>
      </c>
      <c r="AE2" s="13" t="inlineStr">
        <is>
          <t>Invoice
Total ($)</t>
        </is>
      </c>
      <c r="AF2" s="13" t="inlineStr">
        <is>
          <t>Recurrence</t>
        </is>
      </c>
      <c r="AG2" s="13" t="inlineStr">
        <is>
          <t>InvoiceID
(INV-####)</t>
        </is>
      </c>
      <c r="AH2" s="13" t="inlineStr">
        <is>
          <t>Invoice
Sent Date</t>
        </is>
      </c>
      <c r="AI2" s="13" t="inlineStr">
        <is>
          <t>Payment
Status</t>
        </is>
      </c>
    </row>
    <row r="3" customFormat="1" s="9">
      <c r="A3" s="100" t="inlineStr">
        <is>
          <t>JOB-0001</t>
        </is>
      </c>
      <c r="B3" s="100" t="inlineStr">
        <is>
          <t>CUST-0001</t>
        </is>
      </c>
      <c r="C3" s="100" t="inlineStr">
        <is>
          <t>Maria Gonzalez</t>
        </is>
      </c>
      <c r="D3" s="100" t="inlineStr">
        <is>
          <t>Res</t>
        </is>
      </c>
      <c r="E3" s="100" t="inlineStr">
        <is>
          <t>412 Pelican Dr</t>
        </is>
      </c>
      <c r="F3" s="100" t="inlineStr">
        <is>
          <t>Daytona Beach</t>
        </is>
      </c>
      <c r="G3" s="100" t="inlineStr">
        <is>
          <t>FL</t>
        </is>
      </c>
      <c r="H3" s="100" t="inlineStr">
        <is>
          <t>32118</t>
        </is>
      </c>
      <c r="I3" s="100" t="inlineStr">
        <is>
          <t>29.210300</t>
        </is>
      </c>
      <c r="J3" s="100" t="inlineStr">
        <is>
          <t>-81.022700</t>
        </is>
      </c>
      <c r="K3" s="100" t="inlineStr">
        <is>
          <t>08/25/2026</t>
        </is>
      </c>
      <c r="L3" s="109" t="inlineStr"/>
      <c r="M3" s="100" t="inlineStr">
        <is>
          <t>Monday</t>
        </is>
      </c>
      <c r="N3" s="100" t="inlineStr">
        <is>
          <t>08:00</t>
        </is>
      </c>
      <c r="O3" s="100" t="inlineStr">
        <is>
          <t>09:05</t>
        </is>
      </c>
      <c r="P3" s="100" t="inlineStr">
        <is>
          <t>Window Washing</t>
        </is>
      </c>
      <c r="Q3" s="100" t="inlineStr">
        <is>
          <t>Exterior windows — 12 panes, ground floor. Side gate latch from inside.</t>
        </is>
      </c>
      <c r="R3" s="100" t="inlineStr">
        <is>
          <t>Carlos R.</t>
        </is>
      </c>
      <c r="S3" s="100" t="inlineStr">
        <is>
          <t>60</t>
        </is>
      </c>
      <c r="T3" s="100" t="inlineStr">
        <is>
          <t>min</t>
        </is>
      </c>
      <c r="U3" s="100" t="inlineStr">
        <is>
          <t>65</t>
        </is>
      </c>
      <c r="V3" s="100" t="inlineStr">
        <is>
          <t>min</t>
        </is>
      </c>
      <c r="W3" s="100" t="inlineStr">
        <is>
          <t>1</t>
        </is>
      </c>
      <c r="X3" s="109" t="inlineStr"/>
      <c r="Y3" s="100" t="inlineStr">
        <is>
          <t>Sunny, 84°F, no rain</t>
        </is>
      </c>
      <c r="Z3" s="100" t="inlineStr">
        <is>
          <t>Completed</t>
        </is>
      </c>
      <c r="AA3" s="100" t="inlineStr">
        <is>
          <t>125.00</t>
        </is>
      </c>
      <c r="AB3" s="100" t="inlineStr">
        <is>
          <t>6.25</t>
        </is>
      </c>
      <c r="AC3" s="101">
        <f>AA3-AB3</f>
        <v/>
      </c>
      <c r="AD3" s="101">
        <f>(AA3-AB3)*Settings!$B$12</f>
        <v/>
      </c>
      <c r="AE3" s="101">
        <f>AC3+AD3</f>
        <v/>
      </c>
      <c r="AF3" s="100" t="inlineStr">
        <is>
          <t>Monthly</t>
        </is>
      </c>
      <c r="AG3" s="100" t="inlineStr">
        <is>
          <t>INV-0001</t>
        </is>
      </c>
      <c r="AH3" s="100" t="inlineStr">
        <is>
          <t>08/25/2026</t>
        </is>
      </c>
      <c r="AI3" s="100" t="inlineStr">
        <is>
          <t>Paid</t>
        </is>
      </c>
      <c r="AJ3" s="102" t="n"/>
    </row>
    <row r="4" customFormat="1" s="9">
      <c r="A4" s="67" t="n"/>
      <c r="B4" s="67" t="n"/>
      <c r="C4" s="67" t="n"/>
      <c r="D4" s="67" t="n"/>
      <c r="E4" s="67" t="n"/>
      <c r="F4" s="67" t="n"/>
      <c r="G4" s="67" t="n"/>
      <c r="H4" s="67" t="n"/>
      <c r="I4" s="69" t="n"/>
      <c r="J4" s="69" t="n"/>
      <c r="K4" s="73" t="n"/>
      <c r="L4" s="73" t="n"/>
      <c r="M4" s="67" t="n"/>
      <c r="N4" s="74" t="n"/>
      <c r="O4" s="74" t="n"/>
      <c r="P4" s="67" t="n"/>
      <c r="Q4" s="67" t="n"/>
      <c r="R4" s="67" t="n"/>
      <c r="S4" s="70" t="n"/>
      <c r="T4" s="70" t="n"/>
      <c r="U4" s="70" t="n"/>
      <c r="V4" s="70" t="n"/>
      <c r="W4" s="70" t="n"/>
      <c r="X4" s="67" t="n"/>
      <c r="Y4" s="67" t="n"/>
      <c r="Z4" s="67" t="n"/>
      <c r="AA4" s="71" t="n"/>
      <c r="AB4" s="71" t="n"/>
      <c r="AC4" s="71">
        <f>AA4-AB4</f>
        <v/>
      </c>
      <c r="AD4" s="71">
        <f>(AA4-AB4)*Settings!$B$12</f>
        <v/>
      </c>
      <c r="AE4" s="71">
        <f>AC4+AD4</f>
        <v/>
      </c>
      <c r="AF4" s="67" t="n"/>
      <c r="AG4" s="67" t="n"/>
      <c r="AH4" s="73" t="n"/>
      <c r="AI4" s="67" t="n"/>
      <c r="AJ4" s="67" t="n"/>
    </row>
    <row r="5" customFormat="1" s="9">
      <c r="AC5" s="71">
        <f>AA5-AB5</f>
        <v/>
      </c>
      <c r="AD5" s="71">
        <f>(AA5-AB5)*Settings!$B$12</f>
        <v/>
      </c>
      <c r="AE5" s="71">
        <f>AC5+AD5</f>
        <v/>
      </c>
    </row>
    <row r="6" customFormat="1" s="9">
      <c r="AC6" s="71">
        <f>AA6-AB6</f>
        <v/>
      </c>
      <c r="AD6" s="71">
        <f>(AA6-AB6)*Settings!$B$12</f>
        <v/>
      </c>
      <c r="AE6" s="71">
        <f>AC6+AD6</f>
        <v/>
      </c>
    </row>
    <row r="7" customFormat="1" s="9">
      <c r="AC7" s="71">
        <f>AA7-AB7</f>
        <v/>
      </c>
      <c r="AD7" s="71">
        <f>(AA7-AB7)*Settings!$B$12</f>
        <v/>
      </c>
      <c r="AE7" s="71">
        <f>AC7+AD7</f>
        <v/>
      </c>
    </row>
    <row r="8" customFormat="1" s="9">
      <c r="AC8" s="71">
        <f>AA8-AB8</f>
        <v/>
      </c>
      <c r="AD8" s="71">
        <f>(AA8-AB8)*Settings!$B$12</f>
        <v/>
      </c>
      <c r="AE8" s="71">
        <f>AC8+AD8</f>
        <v/>
      </c>
    </row>
    <row r="9" customFormat="1" s="9">
      <c r="AC9" s="71">
        <f>AA9-AB9</f>
        <v/>
      </c>
      <c r="AD9" s="71">
        <f>(AA9-AB9)*Settings!$B$12</f>
        <v/>
      </c>
      <c r="AE9" s="71">
        <f>AC9+AD9</f>
        <v/>
      </c>
    </row>
    <row r="10" customFormat="1" s="9">
      <c r="AC10" s="71">
        <f>AA10-AB10</f>
        <v/>
      </c>
      <c r="AD10" s="71">
        <f>(AA10-AB10)*Settings!$B$12</f>
        <v/>
      </c>
      <c r="AE10" s="71">
        <f>AC10+AD10</f>
        <v/>
      </c>
    </row>
    <row r="11" customFormat="1" s="9">
      <c r="AC11" s="71">
        <f>AA11-AB11</f>
        <v/>
      </c>
      <c r="AD11" s="71">
        <f>(AA11-AB11)*Settings!$B$12</f>
        <v/>
      </c>
      <c r="AE11" s="71">
        <f>AC11+AD11</f>
        <v/>
      </c>
    </row>
    <row r="12" customFormat="1" s="9">
      <c r="AC12" s="71">
        <f>AA12-AB12</f>
        <v/>
      </c>
      <c r="AD12" s="71">
        <f>(AA12-AB12)*Settings!$B$12</f>
        <v/>
      </c>
      <c r="AE12" s="71">
        <f>AC12+AD12</f>
        <v/>
      </c>
    </row>
    <row r="13" customFormat="1" s="9">
      <c r="AC13" s="71">
        <f>AA13-AB13</f>
        <v/>
      </c>
      <c r="AD13" s="71">
        <f>(AA13-AB13)*Settings!$B$12</f>
        <v/>
      </c>
      <c r="AE13" s="71">
        <f>AC13+AD13</f>
        <v/>
      </c>
    </row>
    <row r="14" customFormat="1" s="9">
      <c r="AC14" s="71">
        <f>AA14-AB14</f>
        <v/>
      </c>
      <c r="AD14" s="71">
        <f>(AA14-AB14)*Settings!$B$12</f>
        <v/>
      </c>
      <c r="AE14" s="71">
        <f>AC14+AD14</f>
        <v/>
      </c>
    </row>
    <row r="15" customFormat="1" s="9">
      <c r="AC15" s="71">
        <f>AA15-AB15</f>
        <v/>
      </c>
      <c r="AD15" s="71">
        <f>(AA15-AB15)*Settings!$B$12</f>
        <v/>
      </c>
      <c r="AE15" s="71">
        <f>AC15+AD15</f>
        <v/>
      </c>
    </row>
    <row r="16" customFormat="1" s="9">
      <c r="AC16" s="71">
        <f>AA16-AB16</f>
        <v/>
      </c>
      <c r="AD16" s="71">
        <f>(AA16-AB16)*Settings!$B$12</f>
        <v/>
      </c>
      <c r="AE16" s="71">
        <f>AC16+AD16</f>
        <v/>
      </c>
    </row>
    <row r="17" customFormat="1" s="9">
      <c r="AC17" s="71">
        <f>AA17-AB17</f>
        <v/>
      </c>
      <c r="AD17" s="71">
        <f>(AA17-AB17)*Settings!$B$12</f>
        <v/>
      </c>
      <c r="AE17" s="71">
        <f>AC17+AD17</f>
        <v/>
      </c>
    </row>
    <row r="18" customFormat="1" s="9">
      <c r="AC18" s="71">
        <f>AA18-AB18</f>
        <v/>
      </c>
      <c r="AD18" s="71">
        <f>(AA18-AB18)*Settings!$B$12</f>
        <v/>
      </c>
      <c r="AE18" s="71">
        <f>AC18+AD18</f>
        <v/>
      </c>
    </row>
    <row r="19" customFormat="1" s="9">
      <c r="AC19" s="71">
        <f>AA19-AB19</f>
        <v/>
      </c>
      <c r="AD19" s="71">
        <f>(AA19-AB19)*Settings!$B$12</f>
        <v/>
      </c>
      <c r="AE19" s="71">
        <f>AC19+AD19</f>
        <v/>
      </c>
    </row>
    <row r="20" customFormat="1" s="9">
      <c r="AC20" s="71">
        <f>AA20-AB20</f>
        <v/>
      </c>
      <c r="AD20" s="71">
        <f>(AA20-AB20)*Settings!$B$12</f>
        <v/>
      </c>
      <c r="AE20" s="71">
        <f>AC20+AD20</f>
        <v/>
      </c>
    </row>
    <row r="21" customFormat="1" s="9">
      <c r="AC21" s="71">
        <f>AA21-AB21</f>
        <v/>
      </c>
      <c r="AD21" s="71">
        <f>(AA21-AB21)*Settings!$B$12</f>
        <v/>
      </c>
      <c r="AE21" s="71">
        <f>AC21+AD21</f>
        <v/>
      </c>
    </row>
    <row r="22" customFormat="1" s="9">
      <c r="AC22" s="71">
        <f>AA22-AB22</f>
        <v/>
      </c>
      <c r="AD22" s="71">
        <f>(AA22-AB22)*Settings!$B$12</f>
        <v/>
      </c>
      <c r="AE22" s="71">
        <f>AC22+AD22</f>
        <v/>
      </c>
    </row>
    <row r="23" customFormat="1" s="9">
      <c r="AC23" s="71">
        <f>AA23-AB23</f>
        <v/>
      </c>
      <c r="AD23" s="71">
        <f>(AA23-AB23)*Settings!$B$12</f>
        <v/>
      </c>
      <c r="AE23" s="71">
        <f>AC23+AD23</f>
        <v/>
      </c>
    </row>
    <row r="24" customFormat="1" s="9">
      <c r="AC24" s="71">
        <f>AA24-AB24</f>
        <v/>
      </c>
      <c r="AD24" s="71">
        <f>(AA24-AB24)*Settings!$B$12</f>
        <v/>
      </c>
      <c r="AE24" s="71">
        <f>AC24+AD24</f>
        <v/>
      </c>
    </row>
    <row r="25" customFormat="1" s="9">
      <c r="AC25" s="71">
        <f>AA25-AB25</f>
        <v/>
      </c>
      <c r="AD25" s="71">
        <f>(AA25-AB25)*Settings!$B$12</f>
        <v/>
      </c>
      <c r="AE25" s="71">
        <f>AC25+AD25</f>
        <v/>
      </c>
    </row>
    <row r="26" customFormat="1" s="9">
      <c r="AC26" s="71">
        <f>AA26-AB26</f>
        <v/>
      </c>
      <c r="AD26" s="71">
        <f>(AA26-AB26)*Settings!$B$12</f>
        <v/>
      </c>
      <c r="AE26" s="71">
        <f>AC26+AD26</f>
        <v/>
      </c>
    </row>
    <row r="27" customFormat="1" s="9">
      <c r="AC27" s="71">
        <f>AA27-AB27</f>
        <v/>
      </c>
      <c r="AD27" s="71">
        <f>(AA27-AB27)*Settings!$B$12</f>
        <v/>
      </c>
      <c r="AE27" s="71">
        <f>AC27+AD27</f>
        <v/>
      </c>
    </row>
    <row r="28" customFormat="1" s="9">
      <c r="AC28" s="71">
        <f>AA28-AB28</f>
        <v/>
      </c>
      <c r="AD28" s="71">
        <f>(AA28-AB28)*Settings!$B$12</f>
        <v/>
      </c>
      <c r="AE28" s="71">
        <f>AC28+AD28</f>
        <v/>
      </c>
    </row>
    <row r="29" customFormat="1" s="9">
      <c r="AC29" s="71">
        <f>AA29-AB29</f>
        <v/>
      </c>
      <c r="AD29" s="71">
        <f>(AA29-AB29)*Settings!$B$12</f>
        <v/>
      </c>
      <c r="AE29" s="71">
        <f>AC29+AD29</f>
        <v/>
      </c>
    </row>
    <row r="30" customFormat="1" s="9">
      <c r="AC30" s="71">
        <f>AA30-AB30</f>
        <v/>
      </c>
      <c r="AD30" s="71">
        <f>(AA30-AB30)*Settings!$B$12</f>
        <v/>
      </c>
      <c r="AE30" s="71">
        <f>AC30+AD30</f>
        <v/>
      </c>
    </row>
    <row r="31" customFormat="1" s="9">
      <c r="AC31" s="71">
        <f>AA31-AB31</f>
        <v/>
      </c>
      <c r="AD31" s="71">
        <f>(AA31-AB31)*Settings!$B$12</f>
        <v/>
      </c>
      <c r="AE31" s="71">
        <f>AC31+AD31</f>
        <v/>
      </c>
    </row>
    <row r="32" customFormat="1" s="9">
      <c r="AC32" s="71">
        <f>AA32-AB32</f>
        <v/>
      </c>
      <c r="AD32" s="71">
        <f>(AA32-AB32)*Settings!$B$12</f>
        <v/>
      </c>
      <c r="AE32" s="71">
        <f>AC32+AD32</f>
        <v/>
      </c>
    </row>
    <row r="33" customFormat="1" s="9">
      <c r="AC33" s="71">
        <f>AA33-AB33</f>
        <v/>
      </c>
      <c r="AD33" s="71">
        <f>(AA33-AB33)*Settings!$B$12</f>
        <v/>
      </c>
      <c r="AE33" s="71">
        <f>AC33+AD33</f>
        <v/>
      </c>
    </row>
    <row r="34" customFormat="1" s="9">
      <c r="AC34" s="71">
        <f>AA34-AB34</f>
        <v/>
      </c>
      <c r="AD34" s="71">
        <f>(AA34-AB34)*Settings!$B$12</f>
        <v/>
      </c>
      <c r="AE34" s="71">
        <f>AC34+AD34</f>
        <v/>
      </c>
    </row>
    <row r="35" customFormat="1" s="9">
      <c r="AC35" s="71">
        <f>AA35-AB35</f>
        <v/>
      </c>
      <c r="AD35" s="71">
        <f>(AA35-AB35)*Settings!$B$12</f>
        <v/>
      </c>
      <c r="AE35" s="71">
        <f>AC35+AD35</f>
        <v/>
      </c>
    </row>
    <row r="36" customFormat="1" s="9">
      <c r="AC36" s="71">
        <f>AA36-AB36</f>
        <v/>
      </c>
      <c r="AD36" s="71">
        <f>(AA36-AB36)*Settings!$B$12</f>
        <v/>
      </c>
      <c r="AE36" s="71">
        <f>AC36+AD36</f>
        <v/>
      </c>
    </row>
    <row r="37" customFormat="1" s="9">
      <c r="AC37" s="71">
        <f>AA37-AB37</f>
        <v/>
      </c>
      <c r="AD37" s="71">
        <f>(AA37-AB37)*Settings!$B$12</f>
        <v/>
      </c>
      <c r="AE37" s="71">
        <f>AC37+AD37</f>
        <v/>
      </c>
    </row>
    <row r="38" customFormat="1" s="9">
      <c r="AC38" s="71">
        <f>AA38-AB38</f>
        <v/>
      </c>
      <c r="AD38" s="71">
        <f>(AA38-AB38)*Settings!$B$12</f>
        <v/>
      </c>
      <c r="AE38" s="71">
        <f>AC38+AD38</f>
        <v/>
      </c>
    </row>
    <row r="39" customFormat="1" s="9">
      <c r="AC39" s="71">
        <f>AA39-AB39</f>
        <v/>
      </c>
      <c r="AD39" s="71">
        <f>(AA39-AB39)*Settings!$B$12</f>
        <v/>
      </c>
      <c r="AE39" s="71">
        <f>AC39+AD39</f>
        <v/>
      </c>
    </row>
    <row r="40" customFormat="1" s="9">
      <c r="AC40" s="71">
        <f>AA40-AB40</f>
        <v/>
      </c>
      <c r="AD40" s="71">
        <f>(AA40-AB40)*Settings!$B$12</f>
        <v/>
      </c>
      <c r="AE40" s="71">
        <f>AC40+AD40</f>
        <v/>
      </c>
    </row>
    <row r="41" customFormat="1" s="9">
      <c r="AC41" s="71">
        <f>AA41-AB41</f>
        <v/>
      </c>
      <c r="AD41" s="71">
        <f>(AA41-AB41)*Settings!$B$12</f>
        <v/>
      </c>
      <c r="AE41" s="71">
        <f>AC41+AD41</f>
        <v/>
      </c>
    </row>
    <row r="42" customFormat="1" s="9">
      <c r="AC42" s="71">
        <f>AA42-AB42</f>
        <v/>
      </c>
      <c r="AD42" s="71">
        <f>(AA42-AB42)*Settings!$B$12</f>
        <v/>
      </c>
      <c r="AE42" s="71">
        <f>AC42+AD42</f>
        <v/>
      </c>
    </row>
    <row r="43" customFormat="1" s="9">
      <c r="AC43" s="71">
        <f>AA43-AB43</f>
        <v/>
      </c>
      <c r="AD43" s="71">
        <f>(AA43-AB43)*Settings!$B$12</f>
        <v/>
      </c>
      <c r="AE43" s="71">
        <f>AC43+AD43</f>
        <v/>
      </c>
    </row>
    <row r="44" customFormat="1" s="9">
      <c r="AC44" s="71">
        <f>AA44-AB44</f>
        <v/>
      </c>
      <c r="AD44" s="71">
        <f>(AA44-AB44)*Settings!$B$12</f>
        <v/>
      </c>
      <c r="AE44" s="71">
        <f>AC44+AD44</f>
        <v/>
      </c>
    </row>
    <row r="45" customFormat="1" s="9">
      <c r="AC45" s="71">
        <f>AA45-AB45</f>
        <v/>
      </c>
      <c r="AD45" s="71">
        <f>(AA45-AB45)*Settings!$B$12</f>
        <v/>
      </c>
      <c r="AE45" s="71">
        <f>AC45+AD45</f>
        <v/>
      </c>
    </row>
    <row r="46" customFormat="1" s="9">
      <c r="AC46" s="71">
        <f>AA46-AB46</f>
        <v/>
      </c>
      <c r="AD46" s="71">
        <f>(AA46-AB46)*Settings!$B$12</f>
        <v/>
      </c>
      <c r="AE46" s="71">
        <f>AC46+AD46</f>
        <v/>
      </c>
    </row>
    <row r="47" customFormat="1" s="9">
      <c r="AC47" s="71">
        <f>AA47-AB47</f>
        <v/>
      </c>
      <c r="AD47" s="71">
        <f>(AA47-AB47)*Settings!$B$12</f>
        <v/>
      </c>
      <c r="AE47" s="71">
        <f>AC47+AD47</f>
        <v/>
      </c>
    </row>
    <row r="48" customFormat="1" s="9">
      <c r="AC48" s="71">
        <f>AA48-AB48</f>
        <v/>
      </c>
      <c r="AD48" s="71">
        <f>(AA48-AB48)*Settings!$B$12</f>
        <v/>
      </c>
      <c r="AE48" s="71">
        <f>AC48+AD48</f>
        <v/>
      </c>
    </row>
    <row r="49" customFormat="1" s="9">
      <c r="AC49" s="71">
        <f>AA49-AB49</f>
        <v/>
      </c>
      <c r="AD49" s="71">
        <f>(AA49-AB49)*Settings!$B$12</f>
        <v/>
      </c>
      <c r="AE49" s="71">
        <f>AC49+AD49</f>
        <v/>
      </c>
    </row>
    <row r="50" customFormat="1" s="9">
      <c r="AC50" s="71">
        <f>AA50-AB50</f>
        <v/>
      </c>
      <c r="AD50" s="71">
        <f>(AA50-AB50)*Settings!$B$12</f>
        <v/>
      </c>
      <c r="AE50" s="71">
        <f>AC50+AD50</f>
        <v/>
      </c>
    </row>
    <row r="51" customFormat="1" s="9">
      <c r="AC51" s="71">
        <f>AA51-AB51</f>
        <v/>
      </c>
      <c r="AD51" s="71">
        <f>(AA51-AB51)*Settings!$B$12</f>
        <v/>
      </c>
      <c r="AE51" s="71">
        <f>AC51+AD51</f>
        <v/>
      </c>
    </row>
    <row r="52" customFormat="1" s="9">
      <c r="AC52" s="71">
        <f>AA52-AB52</f>
        <v/>
      </c>
      <c r="AD52" s="71">
        <f>(AA52-AB52)*Settings!$B$12</f>
        <v/>
      </c>
      <c r="AE52" s="71">
        <f>AC52+AD52</f>
        <v/>
      </c>
    </row>
    <row r="53" customFormat="1" s="9">
      <c r="AC53" s="71">
        <f>AA53-AB53</f>
        <v/>
      </c>
      <c r="AD53" s="71">
        <f>(AA53-AB53)*Settings!$B$12</f>
        <v/>
      </c>
      <c r="AE53" s="71">
        <f>AC53+AD53</f>
        <v/>
      </c>
    </row>
    <row r="54" customFormat="1" s="9">
      <c r="AC54" s="71">
        <f>AA54-AB54</f>
        <v/>
      </c>
      <c r="AD54" s="71">
        <f>(AA54-AB54)*Settings!$B$12</f>
        <v/>
      </c>
      <c r="AE54" s="71">
        <f>AC54+AD54</f>
        <v/>
      </c>
    </row>
    <row r="55" customFormat="1" s="9">
      <c r="AC55" s="71">
        <f>AA55-AB55</f>
        <v/>
      </c>
      <c r="AD55" s="71">
        <f>(AA55-AB55)*Settings!$B$12</f>
        <v/>
      </c>
      <c r="AE55" s="71">
        <f>AC55+AD55</f>
        <v/>
      </c>
    </row>
    <row r="56" customFormat="1" s="9">
      <c r="AC56" s="71">
        <f>AA56-AB56</f>
        <v/>
      </c>
      <c r="AD56" s="71">
        <f>(AA56-AB56)*Settings!$B$12</f>
        <v/>
      </c>
      <c r="AE56" s="71">
        <f>AC56+AD56</f>
        <v/>
      </c>
    </row>
    <row r="57" s="11">
      <c r="AC57" s="71">
        <f>AA57-AB57</f>
        <v/>
      </c>
      <c r="AD57" s="71">
        <f>(AA57-AB57)*Settings!$B$12</f>
        <v/>
      </c>
      <c r="AE57" s="71">
        <f>AC57+AD57</f>
        <v/>
      </c>
    </row>
    <row r="58" s="11">
      <c r="AC58" s="71">
        <f>AA58-AB58</f>
        <v/>
      </c>
      <c r="AD58" s="71">
        <f>(AA58-AB58)*Settings!$B$12</f>
        <v/>
      </c>
      <c r="AE58" s="71">
        <f>AC58+AD58</f>
        <v/>
      </c>
    </row>
    <row r="59" s="11">
      <c r="AC59" s="71">
        <f>AA59-AB59</f>
        <v/>
      </c>
      <c r="AD59" s="71">
        <f>(AA59-AB59)*Settings!$B$12</f>
        <v/>
      </c>
      <c r="AE59" s="71">
        <f>AC59+AD59</f>
        <v/>
      </c>
    </row>
    <row r="60" s="11">
      <c r="AC60" s="71">
        <f>AA60-AB60</f>
        <v/>
      </c>
      <c r="AD60" s="71">
        <f>(AA60-AB60)*Settings!$B$12</f>
        <v/>
      </c>
      <c r="AE60" s="71">
        <f>AC60+AD60</f>
        <v/>
      </c>
    </row>
    <row r="61" s="11">
      <c r="AC61" s="71">
        <f>AA61-AB61</f>
        <v/>
      </c>
      <c r="AD61" s="71">
        <f>(AA61-AB61)*Settings!$B$12</f>
        <v/>
      </c>
      <c r="AE61" s="71">
        <f>AC61+AD61</f>
        <v/>
      </c>
    </row>
    <row r="62" s="11">
      <c r="AC62" s="71">
        <f>AA62-AB62</f>
        <v/>
      </c>
      <c r="AD62" s="71">
        <f>(AA62-AB62)*Settings!$B$12</f>
        <v/>
      </c>
      <c r="AE62" s="71">
        <f>AC62+AD62</f>
        <v/>
      </c>
    </row>
    <row r="63" s="11">
      <c r="AC63" s="71">
        <f>AA63-AB63</f>
        <v/>
      </c>
      <c r="AD63" s="71">
        <f>(AA63-AB63)*Settings!$B$12</f>
        <v/>
      </c>
      <c r="AE63" s="71">
        <f>AC63+AD63</f>
        <v/>
      </c>
    </row>
    <row r="64" s="11">
      <c r="AC64" s="71">
        <f>AA64-AB64</f>
        <v/>
      </c>
      <c r="AD64" s="71">
        <f>(AA64-AB64)*Settings!$B$12</f>
        <v/>
      </c>
      <c r="AE64" s="71">
        <f>AC64+AD64</f>
        <v/>
      </c>
    </row>
    <row r="65" s="11">
      <c r="AC65" s="71">
        <f>AA65-AB65</f>
        <v/>
      </c>
      <c r="AD65" s="71">
        <f>(AA65-AB65)*Settings!$B$12</f>
        <v/>
      </c>
      <c r="AE65" s="71">
        <f>AC65+AD65</f>
        <v/>
      </c>
    </row>
    <row r="66" s="11">
      <c r="AC66" s="71">
        <f>AA66-AB66</f>
        <v/>
      </c>
      <c r="AD66" s="71">
        <f>(AA66-AB66)*Settings!$B$12</f>
        <v/>
      </c>
      <c r="AE66" s="71">
        <f>AC66+AD66</f>
        <v/>
      </c>
    </row>
    <row r="67" s="11">
      <c r="AC67" s="71">
        <f>AA67-AB67</f>
        <v/>
      </c>
      <c r="AD67" s="71">
        <f>(AA67-AB67)*Settings!$B$12</f>
        <v/>
      </c>
      <c r="AE67" s="71">
        <f>AC67+AD67</f>
        <v/>
      </c>
    </row>
    <row r="68" s="11">
      <c r="AC68" s="71">
        <f>AA68-AB68</f>
        <v/>
      </c>
      <c r="AD68" s="71">
        <f>(AA68-AB68)*Settings!$B$12</f>
        <v/>
      </c>
      <c r="AE68" s="71">
        <f>AC68+AD68</f>
        <v/>
      </c>
    </row>
    <row r="69" s="11">
      <c r="AC69" s="71">
        <f>AA69-AB69</f>
        <v/>
      </c>
      <c r="AD69" s="71">
        <f>(AA69-AB69)*Settings!$B$12</f>
        <v/>
      </c>
      <c r="AE69" s="71">
        <f>AC69+AD69</f>
        <v/>
      </c>
    </row>
    <row r="70" s="11">
      <c r="AC70" s="71">
        <f>AA70-AB70</f>
        <v/>
      </c>
      <c r="AD70" s="71">
        <f>(AA70-AB70)*Settings!$B$12</f>
        <v/>
      </c>
      <c r="AE70" s="71">
        <f>AC70+AD70</f>
        <v/>
      </c>
    </row>
    <row r="71" s="11">
      <c r="AC71" s="71">
        <f>AA71-AB71</f>
        <v/>
      </c>
      <c r="AD71" s="71">
        <f>(AA71-AB71)*Settings!$B$12</f>
        <v/>
      </c>
      <c r="AE71" s="71">
        <f>AC71+AD71</f>
        <v/>
      </c>
    </row>
    <row r="72" s="11">
      <c r="AC72" s="71">
        <f>AA72-AB72</f>
        <v/>
      </c>
      <c r="AD72" s="71">
        <f>(AA72-AB72)*Settings!$B$12</f>
        <v/>
      </c>
      <c r="AE72" s="71">
        <f>AC72+AD72</f>
        <v/>
      </c>
    </row>
    <row r="73" s="11">
      <c r="AC73" s="71">
        <f>AA73-AB73</f>
        <v/>
      </c>
      <c r="AD73" s="71">
        <f>(AA73-AB73)*Settings!$B$12</f>
        <v/>
      </c>
      <c r="AE73" s="71">
        <f>AC73+AD73</f>
        <v/>
      </c>
    </row>
    <row r="74" s="11">
      <c r="AC74" s="71">
        <f>AA74-AB74</f>
        <v/>
      </c>
      <c r="AD74" s="71">
        <f>(AA74-AB74)*Settings!$B$12</f>
        <v/>
      </c>
      <c r="AE74" s="71">
        <f>AC74+AD74</f>
        <v/>
      </c>
    </row>
    <row r="75" s="11">
      <c r="AC75" s="71">
        <f>AA75-AB75</f>
        <v/>
      </c>
      <c r="AD75" s="71">
        <f>(AA75-AB75)*Settings!$B$12</f>
        <v/>
      </c>
      <c r="AE75" s="71">
        <f>AC75+AD75</f>
        <v/>
      </c>
    </row>
    <row r="76" s="11">
      <c r="AC76" s="71">
        <f>AA76-AB76</f>
        <v/>
      </c>
      <c r="AD76" s="71">
        <f>(AA76-AB76)*Settings!$B$12</f>
        <v/>
      </c>
      <c r="AE76" s="71">
        <f>AC76+AD76</f>
        <v/>
      </c>
    </row>
    <row r="77" s="11">
      <c r="AC77" s="71">
        <f>AA77-AB77</f>
        <v/>
      </c>
      <c r="AD77" s="71">
        <f>(AA77-AB77)*Settings!$B$12</f>
        <v/>
      </c>
      <c r="AE77" s="71">
        <f>AC77+AD77</f>
        <v/>
      </c>
    </row>
    <row r="78" s="11">
      <c r="AC78" s="71">
        <f>AA78-AB78</f>
        <v/>
      </c>
      <c r="AD78" s="71">
        <f>(AA78-AB78)*Settings!$B$12</f>
        <v/>
      </c>
      <c r="AE78" s="71">
        <f>AC78+AD78</f>
        <v/>
      </c>
    </row>
    <row r="79" s="11">
      <c r="AC79" s="71">
        <f>AA79-AB79</f>
        <v/>
      </c>
      <c r="AD79" s="71">
        <f>(AA79-AB79)*Settings!$B$12</f>
        <v/>
      </c>
      <c r="AE79" s="71">
        <f>AC79+AD79</f>
        <v/>
      </c>
    </row>
    <row r="80" s="11">
      <c r="AC80" s="71">
        <f>AA80-AB80</f>
        <v/>
      </c>
      <c r="AD80" s="71">
        <f>(AA80-AB80)*Settings!$B$12</f>
        <v/>
      </c>
      <c r="AE80" s="71">
        <f>AC80+AD80</f>
        <v/>
      </c>
    </row>
    <row r="81" s="11">
      <c r="AC81" s="71">
        <f>AA81-AB81</f>
        <v/>
      </c>
      <c r="AD81" s="71">
        <f>(AA81-AB81)*Settings!$B$12</f>
        <v/>
      </c>
      <c r="AE81" s="71">
        <f>AC81+AD81</f>
        <v/>
      </c>
    </row>
    <row r="82" s="11">
      <c r="AC82" s="71">
        <f>AA82-AB82</f>
        <v/>
      </c>
      <c r="AD82" s="71">
        <f>(AA82-AB82)*Settings!$B$12</f>
        <v/>
      </c>
      <c r="AE82" s="71">
        <f>AC82+AD82</f>
        <v/>
      </c>
    </row>
    <row r="83" s="11">
      <c r="AC83" s="71">
        <f>AA83-AB83</f>
        <v/>
      </c>
      <c r="AD83" s="71">
        <f>(AA83-AB83)*Settings!$B$12</f>
        <v/>
      </c>
      <c r="AE83" s="71">
        <f>AC83+AD83</f>
        <v/>
      </c>
    </row>
    <row r="84" s="11">
      <c r="AC84" s="71">
        <f>AA84-AB84</f>
        <v/>
      </c>
      <c r="AD84" s="71">
        <f>(AA84-AB84)*Settings!$B$12</f>
        <v/>
      </c>
      <c r="AE84" s="71">
        <f>AC84+AD84</f>
        <v/>
      </c>
    </row>
    <row r="85" s="11">
      <c r="AC85" s="71">
        <f>AA85-AB85</f>
        <v/>
      </c>
      <c r="AD85" s="71">
        <f>(AA85-AB85)*Settings!$B$12</f>
        <v/>
      </c>
      <c r="AE85" s="71">
        <f>AC85+AD85</f>
        <v/>
      </c>
    </row>
    <row r="86" s="11">
      <c r="AC86" s="71">
        <f>AA86-AB86</f>
        <v/>
      </c>
      <c r="AD86" s="71">
        <f>(AA86-AB86)*Settings!$B$12</f>
        <v/>
      </c>
      <c r="AE86" s="71">
        <f>AC86+AD86</f>
        <v/>
      </c>
    </row>
    <row r="87" s="11">
      <c r="AC87" s="71">
        <f>AA87-AB87</f>
        <v/>
      </c>
      <c r="AD87" s="71">
        <f>(AA87-AB87)*Settings!$B$12</f>
        <v/>
      </c>
      <c r="AE87" s="71">
        <f>AC87+AD87</f>
        <v/>
      </c>
    </row>
    <row r="88" s="11">
      <c r="AC88" s="71">
        <f>AA88-AB88</f>
        <v/>
      </c>
      <c r="AD88" s="71">
        <f>(AA88-AB88)*Settings!$B$12</f>
        <v/>
      </c>
      <c r="AE88" s="71">
        <f>AC88+AD88</f>
        <v/>
      </c>
    </row>
    <row r="89" s="11">
      <c r="AC89" s="71">
        <f>AA89-AB89</f>
        <v/>
      </c>
      <c r="AD89" s="71">
        <f>(AA89-AB89)*Settings!$B$12</f>
        <v/>
      </c>
      <c r="AE89" s="71">
        <f>AC89+AD89</f>
        <v/>
      </c>
    </row>
    <row r="90" s="11">
      <c r="AC90" s="71">
        <f>AA90-AB90</f>
        <v/>
      </c>
      <c r="AD90" s="71">
        <f>(AA90-AB90)*Settings!$B$12</f>
        <v/>
      </c>
      <c r="AE90" s="71">
        <f>AC90+AD90</f>
        <v/>
      </c>
    </row>
    <row r="91" s="11">
      <c r="AC91" s="71">
        <f>AA91-AB91</f>
        <v/>
      </c>
      <c r="AD91" s="71">
        <f>(AA91-AB91)*Settings!$B$12</f>
        <v/>
      </c>
      <c r="AE91" s="71">
        <f>AC91+AD91</f>
        <v/>
      </c>
    </row>
    <row r="92" s="11">
      <c r="AC92" s="71">
        <f>AA92-AB92</f>
        <v/>
      </c>
      <c r="AD92" s="71">
        <f>(AA92-AB92)*Settings!$B$12</f>
        <v/>
      </c>
      <c r="AE92" s="71">
        <f>AC92+AD92</f>
        <v/>
      </c>
    </row>
    <row r="93" s="11">
      <c r="AC93" s="71">
        <f>AA93-AB93</f>
        <v/>
      </c>
      <c r="AD93" s="71">
        <f>(AA93-AB93)*Settings!$B$12</f>
        <v/>
      </c>
      <c r="AE93" s="71">
        <f>AC93+AD93</f>
        <v/>
      </c>
    </row>
    <row r="94" s="11">
      <c r="AC94" s="71">
        <f>AA94-AB94</f>
        <v/>
      </c>
      <c r="AD94" s="71">
        <f>(AA94-AB94)*Settings!$B$12</f>
        <v/>
      </c>
      <c r="AE94" s="71">
        <f>AC94+AD94</f>
        <v/>
      </c>
    </row>
    <row r="95" s="11">
      <c r="AC95" s="71">
        <f>AA95-AB95</f>
        <v/>
      </c>
      <c r="AD95" s="71">
        <f>(AA95-AB95)*Settings!$B$12</f>
        <v/>
      </c>
      <c r="AE95" s="71">
        <f>AC95+AD95</f>
        <v/>
      </c>
    </row>
    <row r="96" s="11">
      <c r="AC96" s="71">
        <f>AA96-AB96</f>
        <v/>
      </c>
      <c r="AD96" s="71">
        <f>(AA96-AB96)*Settings!$B$12</f>
        <v/>
      </c>
      <c r="AE96" s="71">
        <f>AC96+AD96</f>
        <v/>
      </c>
    </row>
    <row r="97" s="11">
      <c r="AC97" s="71">
        <f>AA97-AB97</f>
        <v/>
      </c>
      <c r="AD97" s="71">
        <f>(AA97-AB97)*Settings!$B$12</f>
        <v/>
      </c>
      <c r="AE97" s="71">
        <f>AC97+AD97</f>
        <v/>
      </c>
    </row>
    <row r="98" s="11">
      <c r="AC98" s="71">
        <f>AA98-AB98</f>
        <v/>
      </c>
      <c r="AD98" s="71">
        <f>(AA98-AB98)*Settings!$B$12</f>
        <v/>
      </c>
      <c r="AE98" s="71">
        <f>AC98+AD98</f>
        <v/>
      </c>
    </row>
    <row r="99" s="11">
      <c r="AC99" s="71">
        <f>AA99-AB99</f>
        <v/>
      </c>
      <c r="AD99" s="71">
        <f>(AA99-AB99)*Settings!$B$12</f>
        <v/>
      </c>
      <c r="AE99" s="71">
        <f>AC99+AD99</f>
        <v/>
      </c>
    </row>
    <row r="100" s="11">
      <c r="AC100" s="71">
        <f>AA100-AB100</f>
        <v/>
      </c>
      <c r="AD100" s="71">
        <f>(AA100-AB100)*Settings!$B$12</f>
        <v/>
      </c>
      <c r="AE100" s="71">
        <f>AC100+AD100</f>
        <v/>
      </c>
    </row>
    <row r="101" s="11">
      <c r="AC101" s="71">
        <f>AA101-AB101</f>
        <v/>
      </c>
      <c r="AD101" s="71">
        <f>(AA101-AB101)*Settings!$B$12</f>
        <v/>
      </c>
      <c r="AE101" s="71">
        <f>AC101+AD101</f>
        <v/>
      </c>
    </row>
    <row r="102" s="11">
      <c r="AC102" s="71">
        <f>AA102-AB102</f>
        <v/>
      </c>
      <c r="AD102" s="71">
        <f>(AA102-AB102)*Settings!$B$12</f>
        <v/>
      </c>
      <c r="AE102" s="71">
        <f>AC102+AD102</f>
        <v/>
      </c>
    </row>
    <row r="103" s="11">
      <c r="AC103" s="71">
        <f>AA103-AB103</f>
        <v/>
      </c>
      <c r="AD103" s="71">
        <f>(AA103-AB103)*Settings!$B$12</f>
        <v/>
      </c>
      <c r="AE103" s="71">
        <f>AC103+AD103</f>
        <v/>
      </c>
    </row>
    <row r="104" s="11">
      <c r="AC104" s="71">
        <f>AA104-AB104</f>
        <v/>
      </c>
      <c r="AD104" s="71">
        <f>(AA104-AB104)*Settings!$B$12</f>
        <v/>
      </c>
      <c r="AE104" s="71">
        <f>AC104+AD104</f>
        <v/>
      </c>
    </row>
    <row r="105" s="11">
      <c r="AC105" s="71">
        <f>AA105-AB105</f>
        <v/>
      </c>
      <c r="AD105" s="71">
        <f>(AA105-AB105)*Settings!$B$12</f>
        <v/>
      </c>
      <c r="AE105" s="71">
        <f>AC105+AD105</f>
        <v/>
      </c>
    </row>
    <row r="106" s="11">
      <c r="AC106" s="71">
        <f>AA106-AB106</f>
        <v/>
      </c>
      <c r="AD106" s="71">
        <f>(AA106-AB106)*Settings!$B$12</f>
        <v/>
      </c>
      <c r="AE106" s="71">
        <f>AC106+AD106</f>
        <v/>
      </c>
    </row>
    <row r="107" s="11">
      <c r="AC107" s="71">
        <f>AA107-AB107</f>
        <v/>
      </c>
      <c r="AD107" s="71">
        <f>(AA107-AB107)*Settings!$B$12</f>
        <v/>
      </c>
      <c r="AE107" s="71">
        <f>AC107+AD107</f>
        <v/>
      </c>
    </row>
    <row r="108" s="11">
      <c r="AC108" s="71">
        <f>AA108-AB108</f>
        <v/>
      </c>
      <c r="AD108" s="71">
        <f>(AA108-AB108)*Settings!$B$12</f>
        <v/>
      </c>
      <c r="AE108" s="71">
        <f>AC108+AD108</f>
        <v/>
      </c>
    </row>
    <row r="109" s="11">
      <c r="AC109" s="71">
        <f>AA109-AB109</f>
        <v/>
      </c>
      <c r="AD109" s="71">
        <f>(AA109-AB109)*Settings!$B$12</f>
        <v/>
      </c>
      <c r="AE109" s="71">
        <f>AC109+AD109</f>
        <v/>
      </c>
    </row>
    <row r="110" s="11">
      <c r="AC110" s="71">
        <f>AA110-AB110</f>
        <v/>
      </c>
      <c r="AD110" s="71">
        <f>(AA110-AB110)*Settings!$B$12</f>
        <v/>
      </c>
      <c r="AE110" s="71">
        <f>AC110+AD110</f>
        <v/>
      </c>
    </row>
    <row r="111" s="11">
      <c r="AC111" s="71">
        <f>AA111-AB111</f>
        <v/>
      </c>
      <c r="AD111" s="71">
        <f>(AA111-AB111)*Settings!$B$12</f>
        <v/>
      </c>
      <c r="AE111" s="71">
        <f>AC111+AD111</f>
        <v/>
      </c>
    </row>
    <row r="112" s="11">
      <c r="AC112" s="71">
        <f>AA112-AB112</f>
        <v/>
      </c>
      <c r="AD112" s="71">
        <f>(AA112-AB112)*Settings!$B$12</f>
        <v/>
      </c>
      <c r="AE112" s="71">
        <f>AC112+AD112</f>
        <v/>
      </c>
    </row>
    <row r="113" s="11">
      <c r="AC113" s="71">
        <f>AA113-AB113</f>
        <v/>
      </c>
      <c r="AD113" s="71">
        <f>(AA113-AB113)*Settings!$B$12</f>
        <v/>
      </c>
      <c r="AE113" s="71">
        <f>AC113+AD113</f>
        <v/>
      </c>
    </row>
    <row r="114" s="11">
      <c r="AC114" s="71">
        <f>AA114-AB114</f>
        <v/>
      </c>
      <c r="AD114" s="71">
        <f>(AA114-AB114)*Settings!$B$12</f>
        <v/>
      </c>
      <c r="AE114" s="71">
        <f>AC114+AD114</f>
        <v/>
      </c>
    </row>
    <row r="115" s="11">
      <c r="AC115" s="71">
        <f>AA115-AB115</f>
        <v/>
      </c>
      <c r="AD115" s="71">
        <f>(AA115-AB115)*Settings!$B$12</f>
        <v/>
      </c>
      <c r="AE115" s="71">
        <f>AC115+AD115</f>
        <v/>
      </c>
    </row>
    <row r="116" s="11">
      <c r="AC116" s="71">
        <f>AA116-AB116</f>
        <v/>
      </c>
      <c r="AD116" s="71">
        <f>(AA116-AB116)*Settings!$B$12</f>
        <v/>
      </c>
      <c r="AE116" s="71">
        <f>AC116+AD116</f>
        <v/>
      </c>
    </row>
    <row r="117" s="11">
      <c r="AC117" s="71">
        <f>AA117-AB117</f>
        <v/>
      </c>
      <c r="AD117" s="71">
        <f>(AA117-AB117)*Settings!$B$12</f>
        <v/>
      </c>
      <c r="AE117" s="71">
        <f>AC117+AD117</f>
        <v/>
      </c>
    </row>
    <row r="118" s="11">
      <c r="AC118" s="71">
        <f>AA118-AB118</f>
        <v/>
      </c>
      <c r="AD118" s="71">
        <f>(AA118-AB118)*Settings!$B$12</f>
        <v/>
      </c>
      <c r="AE118" s="71">
        <f>AC118+AD118</f>
        <v/>
      </c>
    </row>
    <row r="119" s="11">
      <c r="AC119" s="71">
        <f>AA119-AB119</f>
        <v/>
      </c>
      <c r="AD119" s="71">
        <f>(AA119-AB119)*Settings!$B$12</f>
        <v/>
      </c>
      <c r="AE119" s="71">
        <f>AC119+AD119</f>
        <v/>
      </c>
    </row>
    <row r="120" s="11">
      <c r="AC120" s="71">
        <f>AA120-AB120</f>
        <v/>
      </c>
      <c r="AD120" s="71">
        <f>(AA120-AB120)*Settings!$B$12</f>
        <v/>
      </c>
      <c r="AE120" s="71">
        <f>AC120+AD120</f>
        <v/>
      </c>
    </row>
    <row r="121" s="11">
      <c r="AC121" s="71">
        <f>AA121-AB121</f>
        <v/>
      </c>
      <c r="AD121" s="71">
        <f>(AA121-AB121)*Settings!$B$12</f>
        <v/>
      </c>
      <c r="AE121" s="71">
        <f>AC121+AD121</f>
        <v/>
      </c>
    </row>
    <row r="122" s="11">
      <c r="AC122" s="71">
        <f>AA122-AB122</f>
        <v/>
      </c>
      <c r="AD122" s="71">
        <f>(AA122-AB122)*Settings!$B$12</f>
        <v/>
      </c>
      <c r="AE122" s="71">
        <f>AC122+AD122</f>
        <v/>
      </c>
    </row>
    <row r="123" s="11">
      <c r="AC123" s="71">
        <f>AA123-AB123</f>
        <v/>
      </c>
      <c r="AD123" s="71">
        <f>(AA123-AB123)*Settings!$B$12</f>
        <v/>
      </c>
      <c r="AE123" s="71">
        <f>AC123+AD123</f>
        <v/>
      </c>
    </row>
    <row r="124" s="11">
      <c r="AC124" s="71">
        <f>AA124-AB124</f>
        <v/>
      </c>
      <c r="AD124" s="71">
        <f>(AA124-AB124)*Settings!$B$12</f>
        <v/>
      </c>
      <c r="AE124" s="71">
        <f>AC124+AD124</f>
        <v/>
      </c>
    </row>
    <row r="125" s="11">
      <c r="AC125" s="71">
        <f>AA125-AB125</f>
        <v/>
      </c>
      <c r="AD125" s="71">
        <f>(AA125-AB125)*Settings!$B$12</f>
        <v/>
      </c>
      <c r="AE125" s="71">
        <f>AC125+AD125</f>
        <v/>
      </c>
    </row>
    <row r="126" s="11">
      <c r="AC126" s="71">
        <f>AA126-AB126</f>
        <v/>
      </c>
      <c r="AD126" s="71">
        <f>(AA126-AB126)*Settings!$B$12</f>
        <v/>
      </c>
      <c r="AE126" s="71">
        <f>AC126+AD126</f>
        <v/>
      </c>
    </row>
    <row r="127" s="11">
      <c r="AC127" s="71">
        <f>AA127-AB127</f>
        <v/>
      </c>
      <c r="AD127" s="71">
        <f>(AA127-AB127)*Settings!$B$12</f>
        <v/>
      </c>
      <c r="AE127" s="71">
        <f>AC127+AD127</f>
        <v/>
      </c>
    </row>
    <row r="128" s="11">
      <c r="AC128" s="71">
        <f>AA128-AB128</f>
        <v/>
      </c>
      <c r="AD128" s="71">
        <f>(AA128-AB128)*Settings!$B$12</f>
        <v/>
      </c>
      <c r="AE128" s="71">
        <f>AC128+AD128</f>
        <v/>
      </c>
    </row>
    <row r="129" s="11">
      <c r="AC129" s="71">
        <f>AA129-AB129</f>
        <v/>
      </c>
      <c r="AD129" s="71">
        <f>(AA129-AB129)*Settings!$B$12</f>
        <v/>
      </c>
      <c r="AE129" s="71">
        <f>AC129+AD129</f>
        <v/>
      </c>
    </row>
    <row r="130" s="11">
      <c r="AC130" s="71">
        <f>AA130-AB130</f>
        <v/>
      </c>
      <c r="AD130" s="71">
        <f>(AA130-AB130)*Settings!$B$12</f>
        <v/>
      </c>
      <c r="AE130" s="71">
        <f>AC130+AD130</f>
        <v/>
      </c>
    </row>
    <row r="131" s="11">
      <c r="AC131" s="71">
        <f>AA131-AB131</f>
        <v/>
      </c>
      <c r="AD131" s="71">
        <f>(AA131-AB131)*Settings!$B$12</f>
        <v/>
      </c>
      <c r="AE131" s="71">
        <f>AC131+AD131</f>
        <v/>
      </c>
    </row>
    <row r="132" s="11">
      <c r="AC132" s="71">
        <f>AA132-AB132</f>
        <v/>
      </c>
      <c r="AD132" s="71">
        <f>(AA132-AB132)*Settings!$B$12</f>
        <v/>
      </c>
      <c r="AE132" s="71">
        <f>AC132+AD132</f>
        <v/>
      </c>
    </row>
    <row r="133" s="11">
      <c r="AC133" s="71">
        <f>AA133-AB133</f>
        <v/>
      </c>
      <c r="AD133" s="71">
        <f>(AA133-AB133)*Settings!$B$12</f>
        <v/>
      </c>
      <c r="AE133" s="71">
        <f>AC133+AD133</f>
        <v/>
      </c>
    </row>
    <row r="134" s="11">
      <c r="AC134" s="71">
        <f>AA134-AB134</f>
        <v/>
      </c>
      <c r="AD134" s="71">
        <f>(AA134-AB134)*Settings!$B$12</f>
        <v/>
      </c>
      <c r="AE134" s="71">
        <f>AC134+AD134</f>
        <v/>
      </c>
    </row>
    <row r="135" s="11">
      <c r="AC135" s="71">
        <f>AA135-AB135</f>
        <v/>
      </c>
      <c r="AD135" s="71">
        <f>(AA135-AB135)*Settings!$B$12</f>
        <v/>
      </c>
      <c r="AE135" s="71">
        <f>AC135+AD135</f>
        <v/>
      </c>
    </row>
    <row r="136" s="11">
      <c r="AC136" s="71">
        <f>AA136-AB136</f>
        <v/>
      </c>
      <c r="AD136" s="71">
        <f>(AA136-AB136)*Settings!$B$12</f>
        <v/>
      </c>
      <c r="AE136" s="71">
        <f>AC136+AD136</f>
        <v/>
      </c>
    </row>
    <row r="137" s="11">
      <c r="AC137" s="71">
        <f>AA137-AB137</f>
        <v/>
      </c>
      <c r="AD137" s="71">
        <f>(AA137-AB137)*Settings!$B$12</f>
        <v/>
      </c>
      <c r="AE137" s="71">
        <f>AC137+AD137</f>
        <v/>
      </c>
    </row>
    <row r="138" s="11">
      <c r="AC138" s="71">
        <f>AA138-AB138</f>
        <v/>
      </c>
      <c r="AD138" s="71">
        <f>(AA138-AB138)*Settings!$B$12</f>
        <v/>
      </c>
      <c r="AE138" s="71">
        <f>AC138+AD138</f>
        <v/>
      </c>
    </row>
    <row r="139" s="11">
      <c r="AC139" s="71">
        <f>AA139-AB139</f>
        <v/>
      </c>
      <c r="AD139" s="71">
        <f>(AA139-AB139)*Settings!$B$12</f>
        <v/>
      </c>
      <c r="AE139" s="71">
        <f>AC139+AD139</f>
        <v/>
      </c>
    </row>
    <row r="140" s="11">
      <c r="AC140" s="71">
        <f>AA140-AB140</f>
        <v/>
      </c>
      <c r="AD140" s="71">
        <f>(AA140-AB140)*Settings!$B$12</f>
        <v/>
      </c>
      <c r="AE140" s="71">
        <f>AC140+AD140</f>
        <v/>
      </c>
    </row>
    <row r="141" s="11">
      <c r="AC141" s="71">
        <f>AA141-AB141</f>
        <v/>
      </c>
      <c r="AD141" s="71">
        <f>(AA141-AB141)*Settings!$B$12</f>
        <v/>
      </c>
      <c r="AE141" s="71">
        <f>AC141+AD141</f>
        <v/>
      </c>
    </row>
    <row r="142" s="11">
      <c r="AC142" s="71">
        <f>AA142-AB142</f>
        <v/>
      </c>
      <c r="AD142" s="71">
        <f>(AA142-AB142)*Settings!$B$12</f>
        <v/>
      </c>
      <c r="AE142" s="71">
        <f>AC142+AD142</f>
        <v/>
      </c>
    </row>
    <row r="143" s="11">
      <c r="AC143" s="71">
        <f>AA143-AB143</f>
        <v/>
      </c>
      <c r="AD143" s="71">
        <f>(AA143-AB143)*Settings!$B$12</f>
        <v/>
      </c>
      <c r="AE143" s="71">
        <f>AC143+AD143</f>
        <v/>
      </c>
    </row>
    <row r="144" s="11">
      <c r="AC144" s="71">
        <f>AA144-AB144</f>
        <v/>
      </c>
      <c r="AD144" s="71">
        <f>(AA144-AB144)*Settings!$B$12</f>
        <v/>
      </c>
      <c r="AE144" s="71">
        <f>AC144+AD144</f>
        <v/>
      </c>
    </row>
    <row r="145" s="11">
      <c r="AC145" s="71">
        <f>AA145-AB145</f>
        <v/>
      </c>
      <c r="AD145" s="71">
        <f>(AA145-AB145)*Settings!$B$12</f>
        <v/>
      </c>
      <c r="AE145" s="71">
        <f>AC145+AD145</f>
        <v/>
      </c>
    </row>
    <row r="146" s="11">
      <c r="AC146" s="71">
        <f>AA146-AB146</f>
        <v/>
      </c>
      <c r="AD146" s="71">
        <f>(AA146-AB146)*Settings!$B$12</f>
        <v/>
      </c>
      <c r="AE146" s="71">
        <f>AC146+AD146</f>
        <v/>
      </c>
    </row>
    <row r="147" s="11">
      <c r="AC147" s="71">
        <f>AA147-AB147</f>
        <v/>
      </c>
      <c r="AD147" s="71">
        <f>(AA147-AB147)*Settings!$B$12</f>
        <v/>
      </c>
      <c r="AE147" s="71">
        <f>AC147+AD147</f>
        <v/>
      </c>
    </row>
    <row r="148" s="11">
      <c r="AC148" s="71">
        <f>AA148-AB148</f>
        <v/>
      </c>
      <c r="AD148" s="71">
        <f>(AA148-AB148)*Settings!$B$12</f>
        <v/>
      </c>
      <c r="AE148" s="71">
        <f>AC148+AD148</f>
        <v/>
      </c>
    </row>
    <row r="149" s="11">
      <c r="AC149" s="71">
        <f>AA149-AB149</f>
        <v/>
      </c>
      <c r="AD149" s="71">
        <f>(AA149-AB149)*Settings!$B$12</f>
        <v/>
      </c>
      <c r="AE149" s="71">
        <f>AC149+AD149</f>
        <v/>
      </c>
    </row>
    <row r="150" s="11">
      <c r="AC150" s="71">
        <f>AA150-AB150</f>
        <v/>
      </c>
      <c r="AD150" s="71">
        <f>(AA150-AB150)*Settings!$B$12</f>
        <v/>
      </c>
      <c r="AE150" s="71">
        <f>AC150+AD150</f>
        <v/>
      </c>
    </row>
    <row r="151" s="11">
      <c r="AC151" s="71">
        <f>AA151-AB151</f>
        <v/>
      </c>
      <c r="AD151" s="71">
        <f>(AA151-AB151)*Settings!$B$12</f>
        <v/>
      </c>
      <c r="AE151" s="71">
        <f>AC151+AD151</f>
        <v/>
      </c>
    </row>
    <row r="152" s="11">
      <c r="AC152" s="71">
        <f>AA152-AB152</f>
        <v/>
      </c>
      <c r="AD152" s="71">
        <f>(AA152-AB152)*Settings!$B$12</f>
        <v/>
      </c>
      <c r="AE152" s="71">
        <f>AC152+AD152</f>
        <v/>
      </c>
    </row>
    <row r="153" s="11">
      <c r="AC153" s="71">
        <f>AA153-AB153</f>
        <v/>
      </c>
      <c r="AD153" s="71">
        <f>(AA153-AB153)*Settings!$B$12</f>
        <v/>
      </c>
      <c r="AE153" s="71">
        <f>AC153+AD153</f>
        <v/>
      </c>
    </row>
    <row r="154" s="11">
      <c r="AC154" s="71">
        <f>AA154-AB154</f>
        <v/>
      </c>
      <c r="AD154" s="71">
        <f>(AA154-AB154)*Settings!$B$12</f>
        <v/>
      </c>
      <c r="AE154" s="71">
        <f>AC154+AD154</f>
        <v/>
      </c>
    </row>
    <row r="155" s="11">
      <c r="AC155" s="71">
        <f>AA155-AB155</f>
        <v/>
      </c>
      <c r="AD155" s="71">
        <f>(AA155-AB155)*Settings!$B$12</f>
        <v/>
      </c>
      <c r="AE155" s="71">
        <f>AC155+AD155</f>
        <v/>
      </c>
    </row>
    <row r="156" s="11">
      <c r="AC156" s="71">
        <f>AA156-AB156</f>
        <v/>
      </c>
      <c r="AD156" s="71">
        <f>(AA156-AB156)*Settings!$B$12</f>
        <v/>
      </c>
      <c r="AE156" s="71">
        <f>AC156+AD156</f>
        <v/>
      </c>
    </row>
    <row r="157" s="11">
      <c r="AC157" s="71">
        <f>AA157-AB157</f>
        <v/>
      </c>
      <c r="AD157" s="71">
        <f>(AA157-AB157)*Settings!$B$12</f>
        <v/>
      </c>
      <c r="AE157" s="71">
        <f>AC157+AD157</f>
        <v/>
      </c>
    </row>
    <row r="158" s="11">
      <c r="AC158" s="71">
        <f>AA158-AB158</f>
        <v/>
      </c>
      <c r="AD158" s="71">
        <f>(AA158-AB158)*Settings!$B$12</f>
        <v/>
      </c>
      <c r="AE158" s="71">
        <f>AC158+AD158</f>
        <v/>
      </c>
    </row>
    <row r="159" s="11">
      <c r="AC159" s="71">
        <f>AA159-AB159</f>
        <v/>
      </c>
      <c r="AD159" s="71">
        <f>(AA159-AB159)*Settings!$B$12</f>
        <v/>
      </c>
      <c r="AE159" s="71">
        <f>AC159+AD159</f>
        <v/>
      </c>
    </row>
    <row r="160" s="11">
      <c r="AC160" s="71">
        <f>AA160-AB160</f>
        <v/>
      </c>
      <c r="AD160" s="71">
        <f>(AA160-AB160)*Settings!$B$12</f>
        <v/>
      </c>
      <c r="AE160" s="71">
        <f>AC160+AD160</f>
        <v/>
      </c>
    </row>
    <row r="161" s="11">
      <c r="AC161" s="71">
        <f>AA161-AB161</f>
        <v/>
      </c>
      <c r="AD161" s="71">
        <f>(AA161-AB161)*Settings!$B$12</f>
        <v/>
      </c>
      <c r="AE161" s="71">
        <f>AC161+AD161</f>
        <v/>
      </c>
    </row>
    <row r="162" s="11">
      <c r="AC162" s="71">
        <f>AA162-AB162</f>
        <v/>
      </c>
      <c r="AD162" s="71">
        <f>(AA162-AB162)*Settings!$B$12</f>
        <v/>
      </c>
      <c r="AE162" s="71">
        <f>AC162+AD162</f>
        <v/>
      </c>
    </row>
    <row r="163" s="11">
      <c r="AC163" s="71">
        <f>AA163-AB163</f>
        <v/>
      </c>
      <c r="AD163" s="71">
        <f>(AA163-AB163)*Settings!$B$12</f>
        <v/>
      </c>
      <c r="AE163" s="71">
        <f>AC163+AD163</f>
        <v/>
      </c>
    </row>
    <row r="164" s="11">
      <c r="AC164" s="71">
        <f>AA164-AB164</f>
        <v/>
      </c>
      <c r="AD164" s="71">
        <f>(AA164-AB164)*Settings!$B$12</f>
        <v/>
      </c>
      <c r="AE164" s="71">
        <f>AC164+AD164</f>
        <v/>
      </c>
    </row>
    <row r="165" s="11">
      <c r="AC165" s="71">
        <f>AA165-AB165</f>
        <v/>
      </c>
      <c r="AD165" s="71">
        <f>(AA165-AB165)*Settings!$B$12</f>
        <v/>
      </c>
      <c r="AE165" s="71">
        <f>AC165+AD165</f>
        <v/>
      </c>
    </row>
    <row r="166" s="11">
      <c r="AC166" s="71">
        <f>AA166-AB166</f>
        <v/>
      </c>
      <c r="AD166" s="71">
        <f>(AA166-AB166)*Settings!$B$12</f>
        <v/>
      </c>
      <c r="AE166" s="71">
        <f>AC166+AD166</f>
        <v/>
      </c>
    </row>
    <row r="167" s="11">
      <c r="AC167" s="71">
        <f>AA167-AB167</f>
        <v/>
      </c>
      <c r="AD167" s="71">
        <f>(AA167-AB167)*Settings!$B$12</f>
        <v/>
      </c>
      <c r="AE167" s="71">
        <f>AC167+AD167</f>
        <v/>
      </c>
    </row>
    <row r="168" s="11">
      <c r="AC168" s="71">
        <f>AA168-AB168</f>
        <v/>
      </c>
      <c r="AD168" s="71">
        <f>(AA168-AB168)*Settings!$B$12</f>
        <v/>
      </c>
      <c r="AE168" s="71">
        <f>AC168+AD168</f>
        <v/>
      </c>
    </row>
    <row r="169" s="11">
      <c r="AC169" s="71">
        <f>AA169-AB169</f>
        <v/>
      </c>
      <c r="AD169" s="71">
        <f>(AA169-AB169)*Settings!$B$12</f>
        <v/>
      </c>
      <c r="AE169" s="71">
        <f>AC169+AD169</f>
        <v/>
      </c>
    </row>
    <row r="170" s="11">
      <c r="AC170" s="71">
        <f>AA170-AB170</f>
        <v/>
      </c>
      <c r="AD170" s="71">
        <f>(AA170-AB170)*Settings!$B$12</f>
        <v/>
      </c>
      <c r="AE170" s="71">
        <f>AC170+AD170</f>
        <v/>
      </c>
    </row>
    <row r="171" s="11">
      <c r="AC171" s="71">
        <f>AA171-AB171</f>
        <v/>
      </c>
      <c r="AD171" s="71">
        <f>(AA171-AB171)*Settings!$B$12</f>
        <v/>
      </c>
      <c r="AE171" s="71">
        <f>AC171+AD171</f>
        <v/>
      </c>
    </row>
    <row r="172" s="11">
      <c r="AC172" s="71">
        <f>AA172-AB172</f>
        <v/>
      </c>
      <c r="AD172" s="71">
        <f>(AA172-AB172)*Settings!$B$12</f>
        <v/>
      </c>
      <c r="AE172" s="71">
        <f>AC172+AD172</f>
        <v/>
      </c>
    </row>
    <row r="173" s="11">
      <c r="AC173" s="71">
        <f>AA173-AB173</f>
        <v/>
      </c>
      <c r="AD173" s="71">
        <f>(AA173-AB173)*Settings!$B$12</f>
        <v/>
      </c>
      <c r="AE173" s="71">
        <f>AC173+AD173</f>
        <v/>
      </c>
    </row>
    <row r="174" s="11">
      <c r="AC174" s="71">
        <f>AA174-AB174</f>
        <v/>
      </c>
      <c r="AD174" s="71">
        <f>(AA174-AB174)*Settings!$B$12</f>
        <v/>
      </c>
      <c r="AE174" s="71">
        <f>AC174+AD174</f>
        <v/>
      </c>
    </row>
    <row r="175" s="11">
      <c r="AC175" s="71">
        <f>AA175-AB175</f>
        <v/>
      </c>
      <c r="AD175" s="71">
        <f>(AA175-AB175)*Settings!$B$12</f>
        <v/>
      </c>
      <c r="AE175" s="71">
        <f>AC175+AD175</f>
        <v/>
      </c>
    </row>
    <row r="176" s="11">
      <c r="AC176" s="71">
        <f>AA176-AB176</f>
        <v/>
      </c>
      <c r="AD176" s="71">
        <f>(AA176-AB176)*Settings!$B$12</f>
        <v/>
      </c>
      <c r="AE176" s="71">
        <f>AC176+AD176</f>
        <v/>
      </c>
    </row>
    <row r="177" s="11">
      <c r="AC177" s="71">
        <f>AA177-AB177</f>
        <v/>
      </c>
      <c r="AD177" s="71">
        <f>(AA177-AB177)*Settings!$B$12</f>
        <v/>
      </c>
      <c r="AE177" s="71">
        <f>AC177+AD177</f>
        <v/>
      </c>
    </row>
    <row r="178" s="11">
      <c r="AC178" s="71">
        <f>AA178-AB178</f>
        <v/>
      </c>
      <c r="AD178" s="71">
        <f>(AA178-AB178)*Settings!$B$12</f>
        <v/>
      </c>
      <c r="AE178" s="71">
        <f>AC178+AD178</f>
        <v/>
      </c>
    </row>
    <row r="179" s="11">
      <c r="AC179" s="71">
        <f>AA179-AB179</f>
        <v/>
      </c>
      <c r="AD179" s="71">
        <f>(AA179-AB179)*Settings!$B$12</f>
        <v/>
      </c>
      <c r="AE179" s="71">
        <f>AC179+AD179</f>
        <v/>
      </c>
    </row>
    <row r="180" s="11">
      <c r="AC180" s="71">
        <f>AA180-AB180</f>
        <v/>
      </c>
      <c r="AD180" s="71">
        <f>(AA180-AB180)*Settings!$B$12</f>
        <v/>
      </c>
      <c r="AE180" s="71">
        <f>AC180+AD180</f>
        <v/>
      </c>
    </row>
    <row r="181" s="11">
      <c r="AC181" s="71">
        <f>AA181-AB181</f>
        <v/>
      </c>
      <c r="AD181" s="71">
        <f>(AA181-AB181)*Settings!$B$12</f>
        <v/>
      </c>
      <c r="AE181" s="71">
        <f>AC181+AD181</f>
        <v/>
      </c>
    </row>
    <row r="182" s="11">
      <c r="AC182" s="71">
        <f>AA182-AB182</f>
        <v/>
      </c>
      <c r="AD182" s="71">
        <f>(AA182-AB182)*Settings!$B$12</f>
        <v/>
      </c>
      <c r="AE182" s="71">
        <f>AC182+AD182</f>
        <v/>
      </c>
    </row>
    <row r="183" s="11">
      <c r="AC183" s="71">
        <f>AA183-AB183</f>
        <v/>
      </c>
      <c r="AD183" s="71">
        <f>(AA183-AB183)*Settings!$B$12</f>
        <v/>
      </c>
      <c r="AE183" s="71">
        <f>AC183+AD183</f>
        <v/>
      </c>
    </row>
    <row r="184" s="11">
      <c r="AC184" s="71">
        <f>AA184-AB184</f>
        <v/>
      </c>
      <c r="AD184" s="71">
        <f>(AA184-AB184)*Settings!$B$12</f>
        <v/>
      </c>
      <c r="AE184" s="71">
        <f>AC184+AD184</f>
        <v/>
      </c>
    </row>
    <row r="185" s="11">
      <c r="AC185" s="71">
        <f>AA185-AB185</f>
        <v/>
      </c>
      <c r="AD185" s="71">
        <f>(AA185-AB185)*Settings!$B$12</f>
        <v/>
      </c>
      <c r="AE185" s="71">
        <f>AC185+AD185</f>
        <v/>
      </c>
    </row>
    <row r="186" s="11">
      <c r="AC186" s="71">
        <f>AA186-AB186</f>
        <v/>
      </c>
      <c r="AD186" s="71">
        <f>(AA186-AB186)*Settings!$B$12</f>
        <v/>
      </c>
      <c r="AE186" s="71">
        <f>AC186+AD186</f>
        <v/>
      </c>
    </row>
    <row r="187" s="11">
      <c r="AC187" s="71">
        <f>AA187-AB187</f>
        <v/>
      </c>
      <c r="AD187" s="71">
        <f>(AA187-AB187)*Settings!$B$12</f>
        <v/>
      </c>
      <c r="AE187" s="71">
        <f>AC187+AD187</f>
        <v/>
      </c>
    </row>
    <row r="188" s="11">
      <c r="AC188" s="71">
        <f>AA188-AB188</f>
        <v/>
      </c>
      <c r="AD188" s="71">
        <f>(AA188-AB188)*Settings!$B$12</f>
        <v/>
      </c>
      <c r="AE188" s="71">
        <f>AC188+AD188</f>
        <v/>
      </c>
    </row>
    <row r="189" s="11">
      <c r="AC189" s="71">
        <f>AA189-AB189</f>
        <v/>
      </c>
      <c r="AD189" s="71">
        <f>(AA189-AB189)*Settings!$B$12</f>
        <v/>
      </c>
      <c r="AE189" s="71">
        <f>AC189+AD189</f>
        <v/>
      </c>
    </row>
    <row r="190" s="11">
      <c r="AC190" s="71">
        <f>AA190-AB190</f>
        <v/>
      </c>
      <c r="AD190" s="71">
        <f>(AA190-AB190)*Settings!$B$12</f>
        <v/>
      </c>
      <c r="AE190" s="71">
        <f>AC190+AD190</f>
        <v/>
      </c>
    </row>
    <row r="191" s="11">
      <c r="AC191" s="71">
        <f>AA191-AB191</f>
        <v/>
      </c>
      <c r="AD191" s="71">
        <f>(AA191-AB191)*Settings!$B$12</f>
        <v/>
      </c>
      <c r="AE191" s="71">
        <f>AC191+AD191</f>
        <v/>
      </c>
    </row>
    <row r="192" s="11">
      <c r="AC192" s="71">
        <f>AA192-AB192</f>
        <v/>
      </c>
      <c r="AD192" s="71">
        <f>(AA192-AB192)*Settings!$B$12</f>
        <v/>
      </c>
      <c r="AE192" s="71">
        <f>AC192+AD192</f>
        <v/>
      </c>
    </row>
    <row r="193" s="11">
      <c r="AC193" s="71">
        <f>AA193-AB193</f>
        <v/>
      </c>
      <c r="AD193" s="71">
        <f>(AA193-AB193)*Settings!$B$12</f>
        <v/>
      </c>
      <c r="AE193" s="71">
        <f>AC193+AD193</f>
        <v/>
      </c>
    </row>
    <row r="194" s="11">
      <c r="AC194" s="71">
        <f>AA194-AB194</f>
        <v/>
      </c>
      <c r="AD194" s="71">
        <f>(AA194-AB194)*Settings!$B$12</f>
        <v/>
      </c>
      <c r="AE194" s="71">
        <f>AC194+AD194</f>
        <v/>
      </c>
    </row>
    <row r="195" s="11">
      <c r="AC195" s="71">
        <f>AA195-AB195</f>
        <v/>
      </c>
      <c r="AD195" s="71">
        <f>(AA195-AB195)*Settings!$B$12</f>
        <v/>
      </c>
      <c r="AE195" s="71">
        <f>AC195+AD195</f>
        <v/>
      </c>
    </row>
    <row r="196" s="11">
      <c r="AC196" s="71">
        <f>AA196-AB196</f>
        <v/>
      </c>
      <c r="AD196" s="71">
        <f>(AA196-AB196)*Settings!$B$12</f>
        <v/>
      </c>
      <c r="AE196" s="71">
        <f>AC196+AD196</f>
        <v/>
      </c>
    </row>
    <row r="197" s="11">
      <c r="AC197" s="71">
        <f>AA197-AB197</f>
        <v/>
      </c>
      <c r="AD197" s="71">
        <f>(AA197-AB197)*Settings!$B$12</f>
        <v/>
      </c>
      <c r="AE197" s="71">
        <f>AC197+AD197</f>
        <v/>
      </c>
    </row>
    <row r="198" s="11">
      <c r="AC198" s="71">
        <f>AA198-AB198</f>
        <v/>
      </c>
      <c r="AD198" s="71">
        <f>(AA198-AB198)*Settings!$B$12</f>
        <v/>
      </c>
      <c r="AE198" s="71">
        <f>AC198+AD198</f>
        <v/>
      </c>
    </row>
    <row r="199" s="11">
      <c r="AC199" s="71">
        <f>AA199-AB199</f>
        <v/>
      </c>
      <c r="AD199" s="71">
        <f>(AA199-AB199)*Settings!$B$12</f>
        <v/>
      </c>
      <c r="AE199" s="71">
        <f>AC199+AD199</f>
        <v/>
      </c>
    </row>
    <row r="200" s="11">
      <c r="AC200" s="71">
        <f>AA200-AB200</f>
        <v/>
      </c>
      <c r="AD200" s="71">
        <f>(AA200-AB200)*Settings!$B$12</f>
        <v/>
      </c>
      <c r="AE200" s="71">
        <f>AC200+AD200</f>
        <v/>
      </c>
    </row>
    <row r="201" s="11">
      <c r="AC201" s="71">
        <f>AA201-AB201</f>
        <v/>
      </c>
      <c r="AD201" s="71">
        <f>(AA201-AB201)*Settings!$B$12</f>
        <v/>
      </c>
      <c r="AE201" s="71">
        <f>AC201+AD201</f>
        <v/>
      </c>
    </row>
    <row r="202" s="11">
      <c r="AC202" s="71">
        <f>AA202-AB202</f>
        <v/>
      </c>
      <c r="AD202" s="71">
        <f>(AA202-AB202)*Settings!$B$12</f>
        <v/>
      </c>
      <c r="AE202" s="71">
        <f>AC202+AD202</f>
        <v/>
      </c>
    </row>
    <row r="203" s="11">
      <c r="AC203" s="71">
        <f>AA203-AB203</f>
        <v/>
      </c>
      <c r="AD203" s="71">
        <f>(AA203-AB203)*Settings!$B$12</f>
        <v/>
      </c>
      <c r="AE203" s="71">
        <f>AC203+AD203</f>
        <v/>
      </c>
    </row>
    <row r="204" s="11">
      <c r="AC204" s="71">
        <f>AA204-AB204</f>
        <v/>
      </c>
      <c r="AD204" s="71">
        <f>(AA204-AB204)*Settings!$B$12</f>
        <v/>
      </c>
      <c r="AE204" s="71">
        <f>AC204+AD204</f>
        <v/>
      </c>
    </row>
    <row r="205" s="11">
      <c r="AC205" s="71">
        <f>AA205-AB205</f>
        <v/>
      </c>
      <c r="AD205" s="71">
        <f>(AA205-AB205)*Settings!$B$12</f>
        <v/>
      </c>
      <c r="AE205" s="71">
        <f>AC205+AD205</f>
        <v/>
      </c>
    </row>
    <row r="206" s="11">
      <c r="AC206" s="71">
        <f>AA206-AB206</f>
        <v/>
      </c>
      <c r="AD206" s="71">
        <f>(AA206-AB206)*Settings!$B$12</f>
        <v/>
      </c>
      <c r="AE206" s="71">
        <f>AC206+AD206</f>
        <v/>
      </c>
    </row>
    <row r="207" s="11">
      <c r="AC207" s="71">
        <f>AA207-AB207</f>
        <v/>
      </c>
      <c r="AD207" s="71">
        <f>(AA207-AB207)*Settings!$B$12</f>
        <v/>
      </c>
      <c r="AE207" s="71">
        <f>AC207+AD207</f>
        <v/>
      </c>
    </row>
    <row r="208" s="11">
      <c r="AC208" s="71">
        <f>AA208-AB208</f>
        <v/>
      </c>
      <c r="AD208" s="71">
        <f>(AA208-AB208)*Settings!$B$12</f>
        <v/>
      </c>
      <c r="AE208" s="71">
        <f>AC208+AD208</f>
        <v/>
      </c>
    </row>
    <row r="209" s="11">
      <c r="AC209" s="71">
        <f>AA209-AB209</f>
        <v/>
      </c>
      <c r="AD209" s="71">
        <f>(AA209-AB209)*Settings!$B$12</f>
        <v/>
      </c>
      <c r="AE209" s="71">
        <f>AC209+AD209</f>
        <v/>
      </c>
    </row>
    <row r="210" s="11">
      <c r="AC210" s="71">
        <f>AA210-AB210</f>
        <v/>
      </c>
      <c r="AD210" s="71">
        <f>(AA210-AB210)*Settings!$B$12</f>
        <v/>
      </c>
      <c r="AE210" s="71">
        <f>AC210+AD210</f>
        <v/>
      </c>
    </row>
    <row r="211" s="11">
      <c r="AC211" s="71">
        <f>AA211-AB211</f>
        <v/>
      </c>
      <c r="AD211" s="71">
        <f>(AA211-AB211)*Settings!$B$12</f>
        <v/>
      </c>
      <c r="AE211" s="71">
        <f>AC211+AD211</f>
        <v/>
      </c>
    </row>
    <row r="212" s="11">
      <c r="AC212" s="71">
        <f>AA212-AB212</f>
        <v/>
      </c>
      <c r="AD212" s="71">
        <f>(AA212-AB212)*Settings!$B$12</f>
        <v/>
      </c>
      <c r="AE212" s="71">
        <f>AC212+AD212</f>
        <v/>
      </c>
    </row>
    <row r="213" s="11">
      <c r="AC213" s="71">
        <f>AA213-AB213</f>
        <v/>
      </c>
      <c r="AD213" s="71">
        <f>(AA213-AB213)*Settings!$B$12</f>
        <v/>
      </c>
      <c r="AE213" s="71">
        <f>AC213+AD213</f>
        <v/>
      </c>
    </row>
    <row r="214" s="11">
      <c r="AC214" s="71">
        <f>AA214-AB214</f>
        <v/>
      </c>
      <c r="AD214" s="71">
        <f>(AA214-AB214)*Settings!$B$12</f>
        <v/>
      </c>
      <c r="AE214" s="71">
        <f>AC214+AD214</f>
        <v/>
      </c>
    </row>
    <row r="215" s="11">
      <c r="AC215" s="71">
        <f>AA215-AB215</f>
        <v/>
      </c>
      <c r="AD215" s="71">
        <f>(AA215-AB215)*Settings!$B$12</f>
        <v/>
      </c>
      <c r="AE215" s="71">
        <f>AC215+AD215</f>
        <v/>
      </c>
    </row>
    <row r="216" s="11">
      <c r="AC216" s="71">
        <f>AA216-AB216</f>
        <v/>
      </c>
      <c r="AD216" s="71">
        <f>(AA216-AB216)*Settings!$B$12</f>
        <v/>
      </c>
      <c r="AE216" s="71">
        <f>AC216+AD216</f>
        <v/>
      </c>
    </row>
    <row r="217" s="11">
      <c r="AC217" s="71">
        <f>AA217-AB217</f>
        <v/>
      </c>
      <c r="AD217" s="71">
        <f>(AA217-AB217)*Settings!$B$12</f>
        <v/>
      </c>
      <c r="AE217" s="71">
        <f>AC217+AD217</f>
        <v/>
      </c>
    </row>
    <row r="218" s="11">
      <c r="AC218" s="71">
        <f>AA218-AB218</f>
        <v/>
      </c>
      <c r="AD218" s="71">
        <f>(AA218-AB218)*Settings!$B$12</f>
        <v/>
      </c>
      <c r="AE218" s="71">
        <f>AC218+AD218</f>
        <v/>
      </c>
    </row>
    <row r="219" s="11">
      <c r="AC219" s="71">
        <f>AA219-AB219</f>
        <v/>
      </c>
      <c r="AD219" s="71">
        <f>(AA219-AB219)*Settings!$B$12</f>
        <v/>
      </c>
      <c r="AE219" s="71">
        <f>AC219+AD219</f>
        <v/>
      </c>
    </row>
    <row r="220" s="11">
      <c r="AC220" s="71">
        <f>AA220-AB220</f>
        <v/>
      </c>
      <c r="AD220" s="71">
        <f>(AA220-AB220)*Settings!$B$12</f>
        <v/>
      </c>
      <c r="AE220" s="71">
        <f>AC220+AD220</f>
        <v/>
      </c>
    </row>
    <row r="221" s="11">
      <c r="AC221" s="71">
        <f>AA221-AB221</f>
        <v/>
      </c>
      <c r="AD221" s="71">
        <f>(AA221-AB221)*Settings!$B$12</f>
        <v/>
      </c>
      <c r="AE221" s="71">
        <f>AC221+AD221</f>
        <v/>
      </c>
    </row>
    <row r="222" s="11">
      <c r="AC222" s="71">
        <f>AA222-AB222</f>
        <v/>
      </c>
      <c r="AD222" s="71">
        <f>(AA222-AB222)*Settings!$B$12</f>
        <v/>
      </c>
      <c r="AE222" s="71">
        <f>AC222+AD222</f>
        <v/>
      </c>
    </row>
    <row r="223" s="11">
      <c r="AC223" s="71">
        <f>AA223-AB223</f>
        <v/>
      </c>
      <c r="AD223" s="71">
        <f>(AA223-AB223)*Settings!$B$12</f>
        <v/>
      </c>
      <c r="AE223" s="71">
        <f>AC223+AD223</f>
        <v/>
      </c>
    </row>
    <row r="224" s="11">
      <c r="AC224" s="71">
        <f>AA224-AB224</f>
        <v/>
      </c>
      <c r="AD224" s="71">
        <f>(AA224-AB224)*Settings!$B$12</f>
        <v/>
      </c>
      <c r="AE224" s="71">
        <f>AC224+AD224</f>
        <v/>
      </c>
    </row>
    <row r="225" s="11">
      <c r="AC225" s="71">
        <f>AA225-AB225</f>
        <v/>
      </c>
      <c r="AD225" s="71">
        <f>(AA225-AB225)*Settings!$B$12</f>
        <v/>
      </c>
      <c r="AE225" s="71">
        <f>AC225+AD225</f>
        <v/>
      </c>
    </row>
    <row r="226" s="11">
      <c r="AC226" s="71">
        <f>AA226-AB226</f>
        <v/>
      </c>
      <c r="AD226" s="71">
        <f>(AA226-AB226)*Settings!$B$12</f>
        <v/>
      </c>
      <c r="AE226" s="71">
        <f>AC226+AD226</f>
        <v/>
      </c>
    </row>
    <row r="227" s="11">
      <c r="AC227" s="71">
        <f>AA227-AB227</f>
        <v/>
      </c>
      <c r="AD227" s="71">
        <f>(AA227-AB227)*Settings!$B$12</f>
        <v/>
      </c>
      <c r="AE227" s="71">
        <f>AC227+AD227</f>
        <v/>
      </c>
    </row>
    <row r="228" s="11">
      <c r="AC228" s="71">
        <f>AA228-AB228</f>
        <v/>
      </c>
      <c r="AD228" s="71">
        <f>(AA228-AB228)*Settings!$B$12</f>
        <v/>
      </c>
      <c r="AE228" s="71">
        <f>AC228+AD228</f>
        <v/>
      </c>
    </row>
    <row r="229" s="11">
      <c r="AC229" s="71">
        <f>AA229-AB229</f>
        <v/>
      </c>
      <c r="AD229" s="71">
        <f>(AA229-AB229)*Settings!$B$12</f>
        <v/>
      </c>
      <c r="AE229" s="71">
        <f>AC229+AD229</f>
        <v/>
      </c>
    </row>
    <row r="230" s="11">
      <c r="AC230" s="71">
        <f>AA230-AB230</f>
        <v/>
      </c>
      <c r="AD230" s="71">
        <f>(AA230-AB230)*Settings!$B$12</f>
        <v/>
      </c>
      <c r="AE230" s="71">
        <f>AC230+AD230</f>
        <v/>
      </c>
    </row>
    <row r="231" s="11">
      <c r="AC231" s="71">
        <f>AA231-AB231</f>
        <v/>
      </c>
      <c r="AD231" s="71">
        <f>(AA231-AB231)*Settings!$B$12</f>
        <v/>
      </c>
      <c r="AE231" s="71">
        <f>AC231+AD231</f>
        <v/>
      </c>
    </row>
    <row r="232" s="11">
      <c r="AC232" s="71">
        <f>AA232-AB232</f>
        <v/>
      </c>
      <c r="AD232" s="71">
        <f>(AA232-AB232)*Settings!$B$12</f>
        <v/>
      </c>
      <c r="AE232" s="71">
        <f>AC232+AD232</f>
        <v/>
      </c>
    </row>
    <row r="233" s="11">
      <c r="AC233" s="71">
        <f>AA233-AB233</f>
        <v/>
      </c>
      <c r="AD233" s="71">
        <f>(AA233-AB233)*Settings!$B$12</f>
        <v/>
      </c>
      <c r="AE233" s="71">
        <f>AC233+AD233</f>
        <v/>
      </c>
    </row>
    <row r="234" s="11">
      <c r="AC234" s="71">
        <f>AA234-AB234</f>
        <v/>
      </c>
      <c r="AD234" s="71">
        <f>(AA234-AB234)*Settings!$B$12</f>
        <v/>
      </c>
      <c r="AE234" s="71">
        <f>AC234+AD234</f>
        <v/>
      </c>
    </row>
    <row r="235" s="11">
      <c r="AC235" s="71">
        <f>AA235-AB235</f>
        <v/>
      </c>
      <c r="AD235" s="71">
        <f>(AA235-AB235)*Settings!$B$12</f>
        <v/>
      </c>
      <c r="AE235" s="71">
        <f>AC235+AD235</f>
        <v/>
      </c>
    </row>
    <row r="236" s="11">
      <c r="AC236" s="71">
        <f>AA236-AB236</f>
        <v/>
      </c>
      <c r="AD236" s="71">
        <f>(AA236-AB236)*Settings!$B$12</f>
        <v/>
      </c>
      <c r="AE236" s="71">
        <f>AC236+AD236</f>
        <v/>
      </c>
    </row>
    <row r="237" s="11">
      <c r="AC237" s="71">
        <f>AA237-AB237</f>
        <v/>
      </c>
      <c r="AD237" s="71">
        <f>(AA237-AB237)*Settings!$B$12</f>
        <v/>
      </c>
      <c r="AE237" s="71">
        <f>AC237+AD237</f>
        <v/>
      </c>
    </row>
    <row r="238" s="11">
      <c r="AC238" s="71">
        <f>AA238-AB238</f>
        <v/>
      </c>
      <c r="AD238" s="71">
        <f>(AA238-AB238)*Settings!$B$12</f>
        <v/>
      </c>
      <c r="AE238" s="71">
        <f>AC238+AD238</f>
        <v/>
      </c>
    </row>
    <row r="239" s="11">
      <c r="AC239" s="71">
        <f>AA239-AB239</f>
        <v/>
      </c>
      <c r="AD239" s="71">
        <f>(AA239-AB239)*Settings!$B$12</f>
        <v/>
      </c>
      <c r="AE239" s="71">
        <f>AC239+AD239</f>
        <v/>
      </c>
    </row>
    <row r="240" s="11">
      <c r="AC240" s="71">
        <f>AA240-AB240</f>
        <v/>
      </c>
      <c r="AD240" s="71">
        <f>(AA240-AB240)*Settings!$B$12</f>
        <v/>
      </c>
      <c r="AE240" s="71">
        <f>AC240+AD240</f>
        <v/>
      </c>
    </row>
    <row r="241" s="11">
      <c r="AC241" s="71">
        <f>AA241-AB241</f>
        <v/>
      </c>
      <c r="AD241" s="71">
        <f>(AA241-AB241)*Settings!$B$12</f>
        <v/>
      </c>
      <c r="AE241" s="71">
        <f>AC241+AD241</f>
        <v/>
      </c>
    </row>
    <row r="242" s="11">
      <c r="AC242" s="71">
        <f>AA242-AB242</f>
        <v/>
      </c>
      <c r="AD242" s="71">
        <f>(AA242-AB242)*Settings!$B$12</f>
        <v/>
      </c>
      <c r="AE242" s="71">
        <f>AC242+AD242</f>
        <v/>
      </c>
    </row>
    <row r="243" s="11">
      <c r="AC243" s="71">
        <f>AA243-AB243</f>
        <v/>
      </c>
      <c r="AD243" s="71">
        <f>(AA243-AB243)*Settings!$B$12</f>
        <v/>
      </c>
      <c r="AE243" s="71">
        <f>AC243+AD243</f>
        <v/>
      </c>
    </row>
    <row r="244" s="11">
      <c r="AC244" s="71">
        <f>AA244-AB244</f>
        <v/>
      </c>
      <c r="AD244" s="71">
        <f>(AA244-AB244)*Settings!$B$12</f>
        <v/>
      </c>
      <c r="AE244" s="71">
        <f>AC244+AD244</f>
        <v/>
      </c>
    </row>
    <row r="245" s="11">
      <c r="AC245" s="71">
        <f>AA245-AB245</f>
        <v/>
      </c>
      <c r="AD245" s="71">
        <f>(AA245-AB245)*Settings!$B$12</f>
        <v/>
      </c>
      <c r="AE245" s="71">
        <f>AC245+AD245</f>
        <v/>
      </c>
    </row>
    <row r="246" s="11">
      <c r="AC246" s="71">
        <f>AA246-AB246</f>
        <v/>
      </c>
      <c r="AD246" s="71">
        <f>(AA246-AB246)*Settings!$B$12</f>
        <v/>
      </c>
      <c r="AE246" s="71">
        <f>AC246+AD246</f>
        <v/>
      </c>
    </row>
    <row r="247" s="11">
      <c r="AC247" s="71">
        <f>AA247-AB247</f>
        <v/>
      </c>
      <c r="AD247" s="71">
        <f>(AA247-AB247)*Settings!$B$12</f>
        <v/>
      </c>
      <c r="AE247" s="71">
        <f>AC247+AD247</f>
        <v/>
      </c>
    </row>
    <row r="248" s="11">
      <c r="AC248" s="71">
        <f>AA248-AB248</f>
        <v/>
      </c>
      <c r="AD248" s="71">
        <f>(AA248-AB248)*Settings!$B$12</f>
        <v/>
      </c>
      <c r="AE248" s="71">
        <f>AC248+AD248</f>
        <v/>
      </c>
    </row>
    <row r="249" s="11">
      <c r="AC249" s="71">
        <f>AA249-AB249</f>
        <v/>
      </c>
      <c r="AD249" s="71">
        <f>(AA249-AB249)*Settings!$B$12</f>
        <v/>
      </c>
      <c r="AE249" s="71">
        <f>AC249+AD249</f>
        <v/>
      </c>
    </row>
    <row r="250" s="11">
      <c r="AC250" s="71">
        <f>AA250-AB250</f>
        <v/>
      </c>
      <c r="AD250" s="71">
        <f>(AA250-AB250)*Settings!$B$12</f>
        <v/>
      </c>
      <c r="AE250" s="71">
        <f>AC250+AD250</f>
        <v/>
      </c>
    </row>
    <row r="251" s="11">
      <c r="AC251" s="71">
        <f>AA251-AB251</f>
        <v/>
      </c>
      <c r="AD251" s="71">
        <f>(AA251-AB251)*Settings!$B$12</f>
        <v/>
      </c>
      <c r="AE251" s="71">
        <f>AC251+AD251</f>
        <v/>
      </c>
    </row>
    <row r="252" s="11">
      <c r="AC252" s="71">
        <f>AA252-AB252</f>
        <v/>
      </c>
      <c r="AD252" s="71">
        <f>(AA252-AB252)*Settings!$B$12</f>
        <v/>
      </c>
      <c r="AE252" s="71">
        <f>AC252+AD252</f>
        <v/>
      </c>
    </row>
    <row r="253" s="11">
      <c r="AC253" s="71">
        <f>AA253-AB253</f>
        <v/>
      </c>
      <c r="AD253" s="71">
        <f>(AA253-AB253)*Settings!$B$12</f>
        <v/>
      </c>
      <c r="AE253" s="71">
        <f>AC253+AD253</f>
        <v/>
      </c>
    </row>
    <row r="254" s="11">
      <c r="AC254" s="71">
        <f>AA254-AB254</f>
        <v/>
      </c>
      <c r="AD254" s="71">
        <f>(AA254-AB254)*Settings!$B$12</f>
        <v/>
      </c>
      <c r="AE254" s="71">
        <f>AC254+AD254</f>
        <v/>
      </c>
    </row>
    <row r="255" s="11">
      <c r="AC255" s="71">
        <f>AA255-AB255</f>
        <v/>
      </c>
      <c r="AD255" s="71">
        <f>(AA255-AB255)*Settings!$B$12</f>
        <v/>
      </c>
      <c r="AE255" s="71">
        <f>AC255+AD255</f>
        <v/>
      </c>
    </row>
    <row r="256" s="11">
      <c r="AC256" s="71">
        <f>AA256-AB256</f>
        <v/>
      </c>
      <c r="AD256" s="71">
        <f>(AA256-AB256)*Settings!$B$12</f>
        <v/>
      </c>
      <c r="AE256" s="71">
        <f>AC256+AD256</f>
        <v/>
      </c>
    </row>
    <row r="257" s="11">
      <c r="AC257" s="71">
        <f>AA257-AB257</f>
        <v/>
      </c>
      <c r="AD257" s="71">
        <f>(AA257-AB257)*Settings!$B$12</f>
        <v/>
      </c>
      <c r="AE257" s="71">
        <f>AC257+AD257</f>
        <v/>
      </c>
    </row>
    <row r="258" s="11">
      <c r="AC258" s="71">
        <f>AA258-AB258</f>
        <v/>
      </c>
      <c r="AD258" s="71">
        <f>(AA258-AB258)*Settings!$B$12</f>
        <v/>
      </c>
      <c r="AE258" s="71">
        <f>AC258+AD258</f>
        <v/>
      </c>
    </row>
    <row r="259" s="11">
      <c r="AC259" s="71">
        <f>AA259-AB259</f>
        <v/>
      </c>
      <c r="AD259" s="71">
        <f>(AA259-AB259)*Settings!$B$12</f>
        <v/>
      </c>
      <c r="AE259" s="71">
        <f>AC259+AD259</f>
        <v/>
      </c>
    </row>
    <row r="260" s="11">
      <c r="AC260" s="71">
        <f>AA260-AB260</f>
        <v/>
      </c>
      <c r="AD260" s="71">
        <f>(AA260-AB260)*Settings!$B$12</f>
        <v/>
      </c>
      <c r="AE260" s="71">
        <f>AC260+AD260</f>
        <v/>
      </c>
    </row>
    <row r="261" s="11">
      <c r="AC261" s="71">
        <f>AA261-AB261</f>
        <v/>
      </c>
      <c r="AD261" s="71">
        <f>(AA261-AB261)*Settings!$B$12</f>
        <v/>
      </c>
      <c r="AE261" s="71">
        <f>AC261+AD261</f>
        <v/>
      </c>
    </row>
    <row r="262" s="11">
      <c r="AC262" s="71">
        <f>AA262-AB262</f>
        <v/>
      </c>
      <c r="AD262" s="71">
        <f>(AA262-AB262)*Settings!$B$12</f>
        <v/>
      </c>
      <c r="AE262" s="71">
        <f>AC262+AD262</f>
        <v/>
      </c>
    </row>
    <row r="263" s="11">
      <c r="AC263" s="71">
        <f>AA263-AB263</f>
        <v/>
      </c>
      <c r="AD263" s="71">
        <f>(AA263-AB263)*Settings!$B$12</f>
        <v/>
      </c>
      <c r="AE263" s="71">
        <f>AC263+AD263</f>
        <v/>
      </c>
    </row>
    <row r="264" s="11">
      <c r="AC264" s="71">
        <f>AA264-AB264</f>
        <v/>
      </c>
      <c r="AD264" s="71">
        <f>(AA264-AB264)*Settings!$B$12</f>
        <v/>
      </c>
      <c r="AE264" s="71">
        <f>AC264+AD264</f>
        <v/>
      </c>
    </row>
    <row r="265" s="11">
      <c r="AC265" s="71">
        <f>AA265-AB265</f>
        <v/>
      </c>
      <c r="AD265" s="71">
        <f>(AA265-AB265)*Settings!$B$12</f>
        <v/>
      </c>
      <c r="AE265" s="71">
        <f>AC265+AD265</f>
        <v/>
      </c>
    </row>
    <row r="266" s="11">
      <c r="AC266" s="71">
        <f>AA266-AB266</f>
        <v/>
      </c>
      <c r="AD266" s="71">
        <f>(AA266-AB266)*Settings!$B$12</f>
        <v/>
      </c>
      <c r="AE266" s="71">
        <f>AC266+AD266</f>
        <v/>
      </c>
    </row>
    <row r="267" s="11">
      <c r="AC267" s="71">
        <f>AA267-AB267</f>
        <v/>
      </c>
      <c r="AD267" s="71">
        <f>(AA267-AB267)*Settings!$B$12</f>
        <v/>
      </c>
      <c r="AE267" s="71">
        <f>AC267+AD267</f>
        <v/>
      </c>
    </row>
    <row r="268" s="11">
      <c r="AC268" s="71">
        <f>AA268-AB268</f>
        <v/>
      </c>
      <c r="AD268" s="71">
        <f>(AA268-AB268)*Settings!$B$12</f>
        <v/>
      </c>
      <c r="AE268" s="71">
        <f>AC268+AD268</f>
        <v/>
      </c>
    </row>
    <row r="269" s="11">
      <c r="AC269" s="71">
        <f>AA269-AB269</f>
        <v/>
      </c>
      <c r="AD269" s="71">
        <f>(AA269-AB269)*Settings!$B$12</f>
        <v/>
      </c>
      <c r="AE269" s="71">
        <f>AC269+AD269</f>
        <v/>
      </c>
    </row>
    <row r="270" s="11">
      <c r="AC270" s="71">
        <f>AA270-AB270</f>
        <v/>
      </c>
      <c r="AD270" s="71">
        <f>(AA270-AB270)*Settings!$B$12</f>
        <v/>
      </c>
      <c r="AE270" s="71">
        <f>AC270+AD270</f>
        <v/>
      </c>
    </row>
    <row r="271" s="11">
      <c r="AC271" s="71">
        <f>AA271-AB271</f>
        <v/>
      </c>
      <c r="AD271" s="71">
        <f>(AA271-AB271)*Settings!$B$12</f>
        <v/>
      </c>
      <c r="AE271" s="71">
        <f>AC271+AD271</f>
        <v/>
      </c>
    </row>
    <row r="272" s="11">
      <c r="AC272" s="71">
        <f>AA272-AB272</f>
        <v/>
      </c>
      <c r="AD272" s="71">
        <f>(AA272-AB272)*Settings!$B$12</f>
        <v/>
      </c>
      <c r="AE272" s="71">
        <f>AC272+AD272</f>
        <v/>
      </c>
    </row>
    <row r="273" s="11">
      <c r="AC273" s="71">
        <f>AA273-AB273</f>
        <v/>
      </c>
      <c r="AD273" s="71">
        <f>(AA273-AB273)*Settings!$B$12</f>
        <v/>
      </c>
      <c r="AE273" s="71">
        <f>AC273+AD273</f>
        <v/>
      </c>
    </row>
    <row r="274" s="11">
      <c r="AC274" s="71">
        <f>AA274-AB274</f>
        <v/>
      </c>
      <c r="AD274" s="71">
        <f>(AA274-AB274)*Settings!$B$12</f>
        <v/>
      </c>
      <c r="AE274" s="71">
        <f>AC274+AD274</f>
        <v/>
      </c>
    </row>
    <row r="275" s="11">
      <c r="AC275" s="71">
        <f>AA275-AB275</f>
        <v/>
      </c>
      <c r="AD275" s="71">
        <f>(AA275-AB275)*Settings!$B$12</f>
        <v/>
      </c>
      <c r="AE275" s="71">
        <f>AC275+AD275</f>
        <v/>
      </c>
    </row>
    <row r="276" s="11">
      <c r="AC276" s="71">
        <f>AA276-AB276</f>
        <v/>
      </c>
      <c r="AD276" s="71">
        <f>(AA276-AB276)*Settings!$B$12</f>
        <v/>
      </c>
      <c r="AE276" s="71">
        <f>AC276+AD276</f>
        <v/>
      </c>
    </row>
    <row r="277" s="11">
      <c r="AC277" s="71">
        <f>AA277-AB277</f>
        <v/>
      </c>
      <c r="AD277" s="71">
        <f>(AA277-AB277)*Settings!$B$12</f>
        <v/>
      </c>
      <c r="AE277" s="71">
        <f>AC277+AD277</f>
        <v/>
      </c>
    </row>
    <row r="278" s="11">
      <c r="AC278" s="71">
        <f>AA278-AB278</f>
        <v/>
      </c>
      <c r="AD278" s="71">
        <f>(AA278-AB278)*Settings!$B$12</f>
        <v/>
      </c>
      <c r="AE278" s="71">
        <f>AC278+AD278</f>
        <v/>
      </c>
    </row>
    <row r="279" s="11">
      <c r="AC279" s="71">
        <f>AA279-AB279</f>
        <v/>
      </c>
      <c r="AD279" s="71">
        <f>(AA279-AB279)*Settings!$B$12</f>
        <v/>
      </c>
      <c r="AE279" s="71">
        <f>AC279+AD279</f>
        <v/>
      </c>
    </row>
    <row r="280" s="11">
      <c r="AC280" s="71">
        <f>AA280-AB280</f>
        <v/>
      </c>
      <c r="AD280" s="71">
        <f>(AA280-AB280)*Settings!$B$12</f>
        <v/>
      </c>
      <c r="AE280" s="71">
        <f>AC280+AD280</f>
        <v/>
      </c>
    </row>
    <row r="281" s="11">
      <c r="AC281" s="71">
        <f>AA281-AB281</f>
        <v/>
      </c>
      <c r="AD281" s="71">
        <f>(AA281-AB281)*Settings!$B$12</f>
        <v/>
      </c>
      <c r="AE281" s="71">
        <f>AC281+AD281</f>
        <v/>
      </c>
    </row>
    <row r="282" s="11">
      <c r="AC282" s="71">
        <f>AA282-AB282</f>
        <v/>
      </c>
      <c r="AD282" s="71">
        <f>(AA282-AB282)*Settings!$B$12</f>
        <v/>
      </c>
      <c r="AE282" s="71">
        <f>AC282+AD282</f>
        <v/>
      </c>
    </row>
    <row r="283" s="11">
      <c r="AC283" s="71">
        <f>AA283-AB283</f>
        <v/>
      </c>
      <c r="AD283" s="71">
        <f>(AA283-AB283)*Settings!$B$12</f>
        <v/>
      </c>
      <c r="AE283" s="71">
        <f>AC283+AD283</f>
        <v/>
      </c>
    </row>
    <row r="284" s="11">
      <c r="AC284" s="71">
        <f>AA284-AB284</f>
        <v/>
      </c>
      <c r="AD284" s="71">
        <f>(AA284-AB284)*Settings!$B$12</f>
        <v/>
      </c>
      <c r="AE284" s="71">
        <f>AC284+AD284</f>
        <v/>
      </c>
    </row>
    <row r="285" s="11">
      <c r="AC285" s="71">
        <f>AA285-AB285</f>
        <v/>
      </c>
      <c r="AD285" s="71">
        <f>(AA285-AB285)*Settings!$B$12</f>
        <v/>
      </c>
      <c r="AE285" s="71">
        <f>AC285+AD285</f>
        <v/>
      </c>
    </row>
    <row r="286" s="11">
      <c r="AC286" s="71">
        <f>AA286-AB286</f>
        <v/>
      </c>
      <c r="AD286" s="71">
        <f>(AA286-AB286)*Settings!$B$12</f>
        <v/>
      </c>
      <c r="AE286" s="71">
        <f>AC286+AD286</f>
        <v/>
      </c>
    </row>
    <row r="287" s="11">
      <c r="AC287" s="71">
        <f>AA287-AB287</f>
        <v/>
      </c>
      <c r="AD287" s="71">
        <f>(AA287-AB287)*Settings!$B$12</f>
        <v/>
      </c>
      <c r="AE287" s="71">
        <f>AC287+AD287</f>
        <v/>
      </c>
    </row>
    <row r="288" s="11">
      <c r="AC288" s="71">
        <f>AA288-AB288</f>
        <v/>
      </c>
      <c r="AD288" s="71">
        <f>(AA288-AB288)*Settings!$B$12</f>
        <v/>
      </c>
      <c r="AE288" s="71">
        <f>AC288+AD288</f>
        <v/>
      </c>
    </row>
    <row r="289" s="11">
      <c r="AC289" s="71">
        <f>AA289-AB289</f>
        <v/>
      </c>
      <c r="AD289" s="71">
        <f>(AA289-AB289)*Settings!$B$12</f>
        <v/>
      </c>
      <c r="AE289" s="71">
        <f>AC289+AD289</f>
        <v/>
      </c>
    </row>
    <row r="290" s="11">
      <c r="AC290" s="71">
        <f>AA290-AB290</f>
        <v/>
      </c>
      <c r="AD290" s="71">
        <f>(AA290-AB290)*Settings!$B$12</f>
        <v/>
      </c>
      <c r="AE290" s="71">
        <f>AC290+AD290</f>
        <v/>
      </c>
    </row>
    <row r="291" s="11">
      <c r="AC291" s="71">
        <f>AA291-AB291</f>
        <v/>
      </c>
      <c r="AD291" s="71">
        <f>(AA291-AB291)*Settings!$B$12</f>
        <v/>
      </c>
      <c r="AE291" s="71">
        <f>AC291+AD291</f>
        <v/>
      </c>
    </row>
    <row r="292" s="11">
      <c r="AC292" s="71">
        <f>AA292-AB292</f>
        <v/>
      </c>
      <c r="AD292" s="71">
        <f>(AA292-AB292)*Settings!$B$12</f>
        <v/>
      </c>
      <c r="AE292" s="71">
        <f>AC292+AD292</f>
        <v/>
      </c>
    </row>
    <row r="293" s="11">
      <c r="AC293" s="71">
        <f>AA293-AB293</f>
        <v/>
      </c>
      <c r="AD293" s="71">
        <f>(AA293-AB293)*Settings!$B$12</f>
        <v/>
      </c>
      <c r="AE293" s="71">
        <f>AC293+AD293</f>
        <v/>
      </c>
    </row>
    <row r="294" s="11">
      <c r="AC294" s="71">
        <f>AA294-AB294</f>
        <v/>
      </c>
      <c r="AD294" s="71">
        <f>(AA294-AB294)*Settings!$B$12</f>
        <v/>
      </c>
      <c r="AE294" s="71">
        <f>AC294+AD294</f>
        <v/>
      </c>
    </row>
    <row r="295" s="11">
      <c r="AC295" s="71">
        <f>AA295-AB295</f>
        <v/>
      </c>
      <c r="AD295" s="71">
        <f>(AA295-AB295)*Settings!$B$12</f>
        <v/>
      </c>
      <c r="AE295" s="71">
        <f>AC295+AD295</f>
        <v/>
      </c>
    </row>
    <row r="296" s="11">
      <c r="AC296" s="71">
        <f>AA296-AB296</f>
        <v/>
      </c>
      <c r="AD296" s="71">
        <f>(AA296-AB296)*Settings!$B$12</f>
        <v/>
      </c>
      <c r="AE296" s="71">
        <f>AC296+AD296</f>
        <v/>
      </c>
    </row>
    <row r="297" s="11">
      <c r="AC297" s="71">
        <f>AA297-AB297</f>
        <v/>
      </c>
      <c r="AD297" s="71">
        <f>(AA297-AB297)*Settings!$B$12</f>
        <v/>
      </c>
      <c r="AE297" s="71">
        <f>AC297+AD297</f>
        <v/>
      </c>
    </row>
    <row r="298" s="11">
      <c r="AC298" s="71">
        <f>AA298-AB298</f>
        <v/>
      </c>
      <c r="AD298" s="71">
        <f>(AA298-AB298)*Settings!$B$12</f>
        <v/>
      </c>
      <c r="AE298" s="71">
        <f>AC298+AD298</f>
        <v/>
      </c>
    </row>
    <row r="299" s="11">
      <c r="AC299" s="71">
        <f>AA299-AB299</f>
        <v/>
      </c>
      <c r="AD299" s="71">
        <f>(AA299-AB299)*Settings!$B$12</f>
        <v/>
      </c>
      <c r="AE299" s="71">
        <f>AC299+AD299</f>
        <v/>
      </c>
    </row>
    <row r="300" s="11">
      <c r="AC300" s="71">
        <f>AA300-AB300</f>
        <v/>
      </c>
      <c r="AD300" s="71">
        <f>(AA300-AB300)*Settings!$B$12</f>
        <v/>
      </c>
      <c r="AE300" s="71">
        <f>AC300+AD300</f>
        <v/>
      </c>
    </row>
    <row r="301" s="11">
      <c r="AC301" s="71">
        <f>AA301-AB301</f>
        <v/>
      </c>
      <c r="AD301" s="71">
        <f>(AA301-AB301)*Settings!$B$12</f>
        <v/>
      </c>
      <c r="AE301" s="71">
        <f>AC301+AD301</f>
        <v/>
      </c>
    </row>
    <row r="302" s="11">
      <c r="AC302" s="71">
        <f>AA302-AB302</f>
        <v/>
      </c>
      <c r="AD302" s="71">
        <f>(AA302-AB302)*Settings!$B$12</f>
        <v/>
      </c>
      <c r="AE302" s="71">
        <f>AC302+AD302</f>
        <v/>
      </c>
    </row>
    <row r="303" s="11">
      <c r="AC303" s="71">
        <f>AA303-AB303</f>
        <v/>
      </c>
      <c r="AD303" s="71">
        <f>(AA303-AB303)*Settings!$B$12</f>
        <v/>
      </c>
      <c r="AE303" s="71">
        <f>AC303+AD303</f>
        <v/>
      </c>
    </row>
    <row r="304" s="11">
      <c r="AC304" s="71">
        <f>AA304-AB304</f>
        <v/>
      </c>
      <c r="AD304" s="71">
        <f>(AA304-AB304)*Settings!$B$12</f>
        <v/>
      </c>
      <c r="AE304" s="71">
        <f>AC304+AD304</f>
        <v/>
      </c>
    </row>
    <row r="305" s="11">
      <c r="AC305" s="71">
        <f>AA305-AB305</f>
        <v/>
      </c>
      <c r="AD305" s="71">
        <f>(AA305-AB305)*Settings!$B$12</f>
        <v/>
      </c>
      <c r="AE305" s="71">
        <f>AC305+AD305</f>
        <v/>
      </c>
    </row>
    <row r="306" s="11">
      <c r="AC306" s="71">
        <f>AA306-AB306</f>
        <v/>
      </c>
      <c r="AD306" s="71">
        <f>(AA306-AB306)*Settings!$B$12</f>
        <v/>
      </c>
      <c r="AE306" s="71">
        <f>AC306+AD306</f>
        <v/>
      </c>
    </row>
    <row r="307" s="11">
      <c r="AC307" s="71">
        <f>AA307-AB307</f>
        <v/>
      </c>
      <c r="AD307" s="71">
        <f>(AA307-AB307)*Settings!$B$12</f>
        <v/>
      </c>
      <c r="AE307" s="71">
        <f>AC307+AD307</f>
        <v/>
      </c>
    </row>
    <row r="308" s="11">
      <c r="AC308" s="71">
        <f>AA308-AB308</f>
        <v/>
      </c>
      <c r="AD308" s="71">
        <f>(AA308-AB308)*Settings!$B$12</f>
        <v/>
      </c>
      <c r="AE308" s="71">
        <f>AC308+AD308</f>
        <v/>
      </c>
    </row>
    <row r="309" s="11">
      <c r="AC309" s="71">
        <f>AA309-AB309</f>
        <v/>
      </c>
      <c r="AD309" s="71">
        <f>(AA309-AB309)*Settings!$B$12</f>
        <v/>
      </c>
      <c r="AE309" s="71">
        <f>AC309+AD309</f>
        <v/>
      </c>
    </row>
    <row r="310" s="11">
      <c r="AC310" s="71">
        <f>AA310-AB310</f>
        <v/>
      </c>
      <c r="AD310" s="71">
        <f>(AA310-AB310)*Settings!$B$12</f>
        <v/>
      </c>
      <c r="AE310" s="71">
        <f>AC310+AD310</f>
        <v/>
      </c>
    </row>
    <row r="311" s="11">
      <c r="AC311" s="71">
        <f>AA311-AB311</f>
        <v/>
      </c>
      <c r="AD311" s="71">
        <f>(AA311-AB311)*Settings!$B$12</f>
        <v/>
      </c>
      <c r="AE311" s="71">
        <f>AC311+AD311</f>
        <v/>
      </c>
    </row>
    <row r="312" s="11">
      <c r="AC312" s="71">
        <f>AA312-AB312</f>
        <v/>
      </c>
      <c r="AD312" s="71">
        <f>(AA312-AB312)*Settings!$B$12</f>
        <v/>
      </c>
      <c r="AE312" s="71">
        <f>AC312+AD312</f>
        <v/>
      </c>
    </row>
    <row r="313" s="11">
      <c r="AC313" s="71">
        <f>AA313-AB313</f>
        <v/>
      </c>
      <c r="AD313" s="71">
        <f>(AA313-AB313)*Settings!$B$12</f>
        <v/>
      </c>
      <c r="AE313" s="71">
        <f>AC313+AD313</f>
        <v/>
      </c>
    </row>
    <row r="314" s="11">
      <c r="AC314" s="71">
        <f>AA314-AB314</f>
        <v/>
      </c>
      <c r="AD314" s="71">
        <f>(AA314-AB314)*Settings!$B$12</f>
        <v/>
      </c>
      <c r="AE314" s="71">
        <f>AC314+AD314</f>
        <v/>
      </c>
    </row>
    <row r="315" s="11">
      <c r="AC315" s="71">
        <f>AA315-AB315</f>
        <v/>
      </c>
      <c r="AD315" s="71">
        <f>(AA315-AB315)*Settings!$B$12</f>
        <v/>
      </c>
      <c r="AE315" s="71">
        <f>AC315+AD315</f>
        <v/>
      </c>
    </row>
    <row r="316" s="11">
      <c r="AC316" s="71">
        <f>AA316-AB316</f>
        <v/>
      </c>
      <c r="AD316" s="71">
        <f>(AA316-AB316)*Settings!$B$12</f>
        <v/>
      </c>
      <c r="AE316" s="71">
        <f>AC316+AD316</f>
        <v/>
      </c>
    </row>
    <row r="317" s="11">
      <c r="AC317" s="71">
        <f>AA317-AB317</f>
        <v/>
      </c>
      <c r="AD317" s="71">
        <f>(AA317-AB317)*Settings!$B$12</f>
        <v/>
      </c>
      <c r="AE317" s="71">
        <f>AC317+AD317</f>
        <v/>
      </c>
    </row>
    <row r="318" s="11">
      <c r="AC318" s="71">
        <f>AA318-AB318</f>
        <v/>
      </c>
      <c r="AD318" s="71">
        <f>(AA318-AB318)*Settings!$B$12</f>
        <v/>
      </c>
      <c r="AE318" s="71">
        <f>AC318+AD318</f>
        <v/>
      </c>
    </row>
    <row r="319" s="11">
      <c r="AC319" s="71">
        <f>AA319-AB319</f>
        <v/>
      </c>
      <c r="AD319" s="71">
        <f>(AA319-AB319)*Settings!$B$12</f>
        <v/>
      </c>
      <c r="AE319" s="71">
        <f>AC319+AD319</f>
        <v/>
      </c>
    </row>
    <row r="320" s="11">
      <c r="AC320" s="71">
        <f>AA320-AB320</f>
        <v/>
      </c>
      <c r="AD320" s="71">
        <f>(AA320-AB320)*Settings!$B$12</f>
        <v/>
      </c>
      <c r="AE320" s="71">
        <f>AC320+AD320</f>
        <v/>
      </c>
    </row>
    <row r="321" s="11">
      <c r="AC321" s="71">
        <f>AA321-AB321</f>
        <v/>
      </c>
      <c r="AD321" s="71">
        <f>(AA321-AB321)*Settings!$B$12</f>
        <v/>
      </c>
      <c r="AE321" s="71">
        <f>AC321+AD321</f>
        <v/>
      </c>
    </row>
    <row r="322" s="11">
      <c r="AC322" s="71">
        <f>AA322-AB322</f>
        <v/>
      </c>
      <c r="AD322" s="71">
        <f>(AA322-AB322)*Settings!$B$12</f>
        <v/>
      </c>
      <c r="AE322" s="71">
        <f>AC322+AD322</f>
        <v/>
      </c>
    </row>
    <row r="323" s="11">
      <c r="AC323" s="71">
        <f>AA323-AB323</f>
        <v/>
      </c>
      <c r="AD323" s="71">
        <f>(AA323-AB323)*Settings!$B$12</f>
        <v/>
      </c>
      <c r="AE323" s="71">
        <f>AC323+AD323</f>
        <v/>
      </c>
    </row>
    <row r="324" s="11">
      <c r="AC324" s="71">
        <f>AA324-AB324</f>
        <v/>
      </c>
      <c r="AD324" s="71">
        <f>(AA324-AB324)*Settings!$B$12</f>
        <v/>
      </c>
      <c r="AE324" s="71">
        <f>AC324+AD324</f>
        <v/>
      </c>
    </row>
    <row r="325" s="11">
      <c r="AC325" s="71">
        <f>AA325-AB325</f>
        <v/>
      </c>
      <c r="AD325" s="71">
        <f>(AA325-AB325)*Settings!$B$12</f>
        <v/>
      </c>
      <c r="AE325" s="71">
        <f>AC325+AD325</f>
        <v/>
      </c>
    </row>
    <row r="326" s="11">
      <c r="AC326" s="71">
        <f>AA326-AB326</f>
        <v/>
      </c>
      <c r="AD326" s="71">
        <f>(AA326-AB326)*Settings!$B$12</f>
        <v/>
      </c>
      <c r="AE326" s="71">
        <f>AC326+AD326</f>
        <v/>
      </c>
    </row>
    <row r="327" s="11">
      <c r="AC327" s="71">
        <f>AA327-AB327</f>
        <v/>
      </c>
      <c r="AD327" s="71">
        <f>(AA327-AB327)*Settings!$B$12</f>
        <v/>
      </c>
      <c r="AE327" s="71">
        <f>AC327+AD327</f>
        <v/>
      </c>
    </row>
    <row r="328" s="11">
      <c r="AC328" s="71">
        <f>AA328-AB328</f>
        <v/>
      </c>
      <c r="AD328" s="71">
        <f>(AA328-AB328)*Settings!$B$12</f>
        <v/>
      </c>
      <c r="AE328" s="71">
        <f>AC328+AD328</f>
        <v/>
      </c>
    </row>
    <row r="329" s="11">
      <c r="AC329" s="71">
        <f>AA329-AB329</f>
        <v/>
      </c>
      <c r="AD329" s="71">
        <f>(AA329-AB329)*Settings!$B$12</f>
        <v/>
      </c>
      <c r="AE329" s="71">
        <f>AC329+AD329</f>
        <v/>
      </c>
    </row>
    <row r="330" s="11">
      <c r="AC330" s="71">
        <f>AA330-AB330</f>
        <v/>
      </c>
      <c r="AD330" s="71">
        <f>(AA330-AB330)*Settings!$B$12</f>
        <v/>
      </c>
      <c r="AE330" s="71">
        <f>AC330+AD330</f>
        <v/>
      </c>
    </row>
    <row r="331" s="11">
      <c r="AC331" s="71">
        <f>AA331-AB331</f>
        <v/>
      </c>
      <c r="AD331" s="71">
        <f>(AA331-AB331)*Settings!$B$12</f>
        <v/>
      </c>
      <c r="AE331" s="71">
        <f>AC331+AD331</f>
        <v/>
      </c>
    </row>
    <row r="332" s="11">
      <c r="AC332" s="71">
        <f>AA332-AB332</f>
        <v/>
      </c>
      <c r="AD332" s="71">
        <f>(AA332-AB332)*Settings!$B$12</f>
        <v/>
      </c>
      <c r="AE332" s="71">
        <f>AC332+AD332</f>
        <v/>
      </c>
    </row>
    <row r="333" s="11">
      <c r="AC333" s="71">
        <f>AA333-AB333</f>
        <v/>
      </c>
      <c r="AD333" s="71">
        <f>(AA333-AB333)*Settings!$B$12</f>
        <v/>
      </c>
      <c r="AE333" s="71">
        <f>AC333+AD333</f>
        <v/>
      </c>
    </row>
    <row r="334" s="11">
      <c r="AC334" s="71">
        <f>AA334-AB334</f>
        <v/>
      </c>
      <c r="AD334" s="71">
        <f>(AA334-AB334)*Settings!$B$12</f>
        <v/>
      </c>
      <c r="AE334" s="71">
        <f>AC334+AD334</f>
        <v/>
      </c>
    </row>
    <row r="335" s="11">
      <c r="AC335" s="71">
        <f>AA335-AB335</f>
        <v/>
      </c>
      <c r="AD335" s="71">
        <f>(AA335-AB335)*Settings!$B$12</f>
        <v/>
      </c>
      <c r="AE335" s="71">
        <f>AC335+AD335</f>
        <v/>
      </c>
    </row>
    <row r="336" s="11">
      <c r="AC336" s="71">
        <f>AA336-AB336</f>
        <v/>
      </c>
      <c r="AD336" s="71">
        <f>(AA336-AB336)*Settings!$B$12</f>
        <v/>
      </c>
      <c r="AE336" s="71">
        <f>AC336+AD336</f>
        <v/>
      </c>
    </row>
    <row r="337" s="11">
      <c r="AC337" s="71">
        <f>AA337-AB337</f>
        <v/>
      </c>
      <c r="AD337" s="71">
        <f>(AA337-AB337)*Settings!$B$12</f>
        <v/>
      </c>
      <c r="AE337" s="71">
        <f>AC337+AD337</f>
        <v/>
      </c>
    </row>
    <row r="338" s="11">
      <c r="AC338" s="71">
        <f>AA338-AB338</f>
        <v/>
      </c>
      <c r="AD338" s="71">
        <f>(AA338-AB338)*Settings!$B$12</f>
        <v/>
      </c>
      <c r="AE338" s="71">
        <f>AC338+AD338</f>
        <v/>
      </c>
    </row>
    <row r="339" s="11">
      <c r="AC339" s="71">
        <f>AA339-AB339</f>
        <v/>
      </c>
      <c r="AD339" s="71">
        <f>(AA339-AB339)*Settings!$B$12</f>
        <v/>
      </c>
      <c r="AE339" s="71">
        <f>AC339+AD339</f>
        <v/>
      </c>
    </row>
    <row r="340" s="11">
      <c r="AC340" s="71">
        <f>AA340-AB340</f>
        <v/>
      </c>
      <c r="AD340" s="71">
        <f>(AA340-AB340)*Settings!$B$12</f>
        <v/>
      </c>
      <c r="AE340" s="71">
        <f>AC340+AD340</f>
        <v/>
      </c>
    </row>
    <row r="341" s="11">
      <c r="AC341" s="71">
        <f>AA341-AB341</f>
        <v/>
      </c>
      <c r="AD341" s="71">
        <f>(AA341-AB341)*Settings!$B$12</f>
        <v/>
      </c>
      <c r="AE341" s="71">
        <f>AC341+AD341</f>
        <v/>
      </c>
    </row>
    <row r="342" s="11">
      <c r="AC342" s="71">
        <f>AA342-AB342</f>
        <v/>
      </c>
      <c r="AD342" s="71">
        <f>(AA342-AB342)*Settings!$B$12</f>
        <v/>
      </c>
      <c r="AE342" s="71">
        <f>AC342+AD342</f>
        <v/>
      </c>
    </row>
    <row r="343" s="11">
      <c r="AC343" s="71">
        <f>AA343-AB343</f>
        <v/>
      </c>
      <c r="AD343" s="71">
        <f>(AA343-AB343)*Settings!$B$12</f>
        <v/>
      </c>
      <c r="AE343" s="71">
        <f>AC343+AD343</f>
        <v/>
      </c>
    </row>
    <row r="344" s="11">
      <c r="AC344" s="71">
        <f>AA344-AB344</f>
        <v/>
      </c>
      <c r="AD344" s="71">
        <f>(AA344-AB344)*Settings!$B$12</f>
        <v/>
      </c>
      <c r="AE344" s="71">
        <f>AC344+AD344</f>
        <v/>
      </c>
    </row>
    <row r="345" s="11">
      <c r="AC345" s="71">
        <f>AA345-AB345</f>
        <v/>
      </c>
      <c r="AD345" s="71">
        <f>(AA345-AB345)*Settings!$B$12</f>
        <v/>
      </c>
      <c r="AE345" s="71">
        <f>AC345+AD345</f>
        <v/>
      </c>
    </row>
    <row r="346" s="11">
      <c r="AC346" s="71">
        <f>AA346-AB346</f>
        <v/>
      </c>
      <c r="AD346" s="71">
        <f>(AA346-AB346)*Settings!$B$12</f>
        <v/>
      </c>
      <c r="AE346" s="71">
        <f>AC346+AD346</f>
        <v/>
      </c>
    </row>
    <row r="347" s="11">
      <c r="AC347" s="71">
        <f>AA347-AB347</f>
        <v/>
      </c>
      <c r="AD347" s="71">
        <f>(AA347-AB347)*Settings!$B$12</f>
        <v/>
      </c>
      <c r="AE347" s="71">
        <f>AC347+AD347</f>
        <v/>
      </c>
    </row>
    <row r="348" s="11">
      <c r="AC348" s="71">
        <f>AA348-AB348</f>
        <v/>
      </c>
      <c r="AD348" s="71">
        <f>(AA348-AB348)*Settings!$B$12</f>
        <v/>
      </c>
      <c r="AE348" s="71">
        <f>AC348+AD348</f>
        <v/>
      </c>
    </row>
    <row r="349" s="11">
      <c r="AC349" s="71">
        <f>AA349-AB349</f>
        <v/>
      </c>
      <c r="AD349" s="71">
        <f>(AA349-AB349)*Settings!$B$12</f>
        <v/>
      </c>
      <c r="AE349" s="71">
        <f>AC349+AD349</f>
        <v/>
      </c>
    </row>
    <row r="350" s="11">
      <c r="AC350" s="71">
        <f>AA350-AB350</f>
        <v/>
      </c>
      <c r="AD350" s="71">
        <f>(AA350-AB350)*Settings!$B$12</f>
        <v/>
      </c>
      <c r="AE350" s="71">
        <f>AC350+AD350</f>
        <v/>
      </c>
    </row>
    <row r="351" s="11">
      <c r="AC351" s="71">
        <f>AA351-AB351</f>
        <v/>
      </c>
      <c r="AD351" s="71">
        <f>(AA351-AB351)*Settings!$B$12</f>
        <v/>
      </c>
      <c r="AE351" s="71">
        <f>AC351+AD351</f>
        <v/>
      </c>
    </row>
    <row r="352" s="11">
      <c r="AC352" s="71">
        <f>AA352-AB352</f>
        <v/>
      </c>
      <c r="AD352" s="71">
        <f>(AA352-AB352)*Settings!$B$12</f>
        <v/>
      </c>
      <c r="AE352" s="71">
        <f>AC352+AD352</f>
        <v/>
      </c>
    </row>
    <row r="353" s="11">
      <c r="AC353" s="71">
        <f>AA353-AB353</f>
        <v/>
      </c>
      <c r="AD353" s="71">
        <f>(AA353-AB353)*Settings!$B$12</f>
        <v/>
      </c>
      <c r="AE353" s="71">
        <f>AC353+AD353</f>
        <v/>
      </c>
    </row>
    <row r="354" s="11">
      <c r="AC354" s="71">
        <f>AA354-AB354</f>
        <v/>
      </c>
      <c r="AD354" s="71">
        <f>(AA354-AB354)*Settings!$B$12</f>
        <v/>
      </c>
      <c r="AE354" s="71">
        <f>AC354+AD354</f>
        <v/>
      </c>
    </row>
    <row r="355" s="11">
      <c r="AC355" s="71">
        <f>AA355-AB355</f>
        <v/>
      </c>
      <c r="AD355" s="71">
        <f>(AA355-AB355)*Settings!$B$12</f>
        <v/>
      </c>
      <c r="AE355" s="71">
        <f>AC355+AD355</f>
        <v/>
      </c>
    </row>
    <row r="356" s="11">
      <c r="AC356" s="71">
        <f>AA356-AB356</f>
        <v/>
      </c>
      <c r="AD356" s="71">
        <f>(AA356-AB356)*Settings!$B$12</f>
        <v/>
      </c>
      <c r="AE356" s="71">
        <f>AC356+AD356</f>
        <v/>
      </c>
    </row>
    <row r="357" s="11">
      <c r="AC357" s="71">
        <f>AA357-AB357</f>
        <v/>
      </c>
      <c r="AD357" s="71">
        <f>(AA357-AB357)*Settings!$B$12</f>
        <v/>
      </c>
      <c r="AE357" s="71">
        <f>AC357+AD357</f>
        <v/>
      </c>
    </row>
    <row r="358" s="11">
      <c r="AC358" s="71">
        <f>AA358-AB358</f>
        <v/>
      </c>
      <c r="AD358" s="71">
        <f>(AA358-AB358)*Settings!$B$12</f>
        <v/>
      </c>
      <c r="AE358" s="71">
        <f>AC358+AD358</f>
        <v/>
      </c>
    </row>
    <row r="359" s="11">
      <c r="AC359" s="71">
        <f>AA359-AB359</f>
        <v/>
      </c>
      <c r="AD359" s="71">
        <f>(AA359-AB359)*Settings!$B$12</f>
        <v/>
      </c>
      <c r="AE359" s="71">
        <f>AC359+AD359</f>
        <v/>
      </c>
    </row>
    <row r="360" s="11">
      <c r="AC360" s="71">
        <f>AA360-AB360</f>
        <v/>
      </c>
      <c r="AD360" s="71">
        <f>(AA360-AB360)*Settings!$B$12</f>
        <v/>
      </c>
      <c r="AE360" s="71">
        <f>AC360+AD360</f>
        <v/>
      </c>
    </row>
    <row r="361" s="11">
      <c r="AC361" s="71">
        <f>AA361-AB361</f>
        <v/>
      </c>
      <c r="AD361" s="71">
        <f>(AA361-AB361)*Settings!$B$12</f>
        <v/>
      </c>
      <c r="AE361" s="71">
        <f>AC361+AD361</f>
        <v/>
      </c>
    </row>
    <row r="362" s="11">
      <c r="AC362" s="71">
        <f>AA362-AB362</f>
        <v/>
      </c>
      <c r="AD362" s="71">
        <f>(AA362-AB362)*Settings!$B$12</f>
        <v/>
      </c>
      <c r="AE362" s="71">
        <f>AC362+AD362</f>
        <v/>
      </c>
    </row>
    <row r="363" s="11">
      <c r="AC363" s="71">
        <f>AA363-AB363</f>
        <v/>
      </c>
      <c r="AD363" s="71">
        <f>(AA363-AB363)*Settings!$B$12</f>
        <v/>
      </c>
      <c r="AE363" s="71">
        <f>AC363+AD363</f>
        <v/>
      </c>
    </row>
    <row r="364" s="11">
      <c r="AC364" s="71">
        <f>AA364-AB364</f>
        <v/>
      </c>
      <c r="AD364" s="71">
        <f>(AA364-AB364)*Settings!$B$12</f>
        <v/>
      </c>
      <c r="AE364" s="71">
        <f>AC364+AD364</f>
        <v/>
      </c>
    </row>
    <row r="365" s="11">
      <c r="AC365" s="71">
        <f>AA365-AB365</f>
        <v/>
      </c>
      <c r="AD365" s="71">
        <f>(AA365-AB365)*Settings!$B$12</f>
        <v/>
      </c>
      <c r="AE365" s="71">
        <f>AC365+AD365</f>
        <v/>
      </c>
    </row>
    <row r="366" s="11">
      <c r="AC366" s="71">
        <f>AA366-AB366</f>
        <v/>
      </c>
      <c r="AD366" s="71">
        <f>(AA366-AB366)*Settings!$B$12</f>
        <v/>
      </c>
      <c r="AE366" s="71">
        <f>AC366+AD366</f>
        <v/>
      </c>
    </row>
    <row r="367" s="11">
      <c r="AC367" s="71">
        <f>AA367-AB367</f>
        <v/>
      </c>
      <c r="AD367" s="71">
        <f>(AA367-AB367)*Settings!$B$12</f>
        <v/>
      </c>
      <c r="AE367" s="71">
        <f>AC367+AD367</f>
        <v/>
      </c>
    </row>
    <row r="368" s="11">
      <c r="AC368" s="71">
        <f>AA368-AB368</f>
        <v/>
      </c>
      <c r="AD368" s="71">
        <f>(AA368-AB368)*Settings!$B$12</f>
        <v/>
      </c>
      <c r="AE368" s="71">
        <f>AC368+AD368</f>
        <v/>
      </c>
    </row>
    <row r="369" s="11">
      <c r="AC369" s="71">
        <f>AA369-AB369</f>
        <v/>
      </c>
      <c r="AD369" s="71">
        <f>(AA369-AB369)*Settings!$B$12</f>
        <v/>
      </c>
      <c r="AE369" s="71">
        <f>AC369+AD369</f>
        <v/>
      </c>
    </row>
    <row r="370" s="11">
      <c r="AC370" s="71">
        <f>AA370-AB370</f>
        <v/>
      </c>
      <c r="AD370" s="71">
        <f>(AA370-AB370)*Settings!$B$12</f>
        <v/>
      </c>
      <c r="AE370" s="71">
        <f>AC370+AD370</f>
        <v/>
      </c>
    </row>
    <row r="371" s="11">
      <c r="AC371" s="71">
        <f>AA371-AB371</f>
        <v/>
      </c>
      <c r="AD371" s="71">
        <f>(AA371-AB371)*Settings!$B$12</f>
        <v/>
      </c>
      <c r="AE371" s="71">
        <f>AC371+AD371</f>
        <v/>
      </c>
    </row>
    <row r="372" s="11">
      <c r="AC372" s="71">
        <f>AA372-AB372</f>
        <v/>
      </c>
      <c r="AD372" s="71">
        <f>(AA372-AB372)*Settings!$B$12</f>
        <v/>
      </c>
      <c r="AE372" s="71">
        <f>AC372+AD372</f>
        <v/>
      </c>
    </row>
    <row r="373" s="11">
      <c r="AC373" s="71">
        <f>AA373-AB373</f>
        <v/>
      </c>
      <c r="AD373" s="71">
        <f>(AA373-AB373)*Settings!$B$12</f>
        <v/>
      </c>
      <c r="AE373" s="71">
        <f>AC373+AD373</f>
        <v/>
      </c>
    </row>
    <row r="374" s="11">
      <c r="AC374" s="71">
        <f>AA374-AB374</f>
        <v/>
      </c>
      <c r="AD374" s="71">
        <f>(AA374-AB374)*Settings!$B$12</f>
        <v/>
      </c>
      <c r="AE374" s="71">
        <f>AC374+AD374</f>
        <v/>
      </c>
    </row>
    <row r="375" s="11">
      <c r="AC375" s="71">
        <f>AA375-AB375</f>
        <v/>
      </c>
      <c r="AD375" s="71">
        <f>(AA375-AB375)*Settings!$B$12</f>
        <v/>
      </c>
      <c r="AE375" s="71">
        <f>AC375+AD375</f>
        <v/>
      </c>
    </row>
    <row r="376" s="11">
      <c r="AC376" s="71">
        <f>AA376-AB376</f>
        <v/>
      </c>
      <c r="AD376" s="71">
        <f>(AA376-AB376)*Settings!$B$12</f>
        <v/>
      </c>
      <c r="AE376" s="71">
        <f>AC376+AD376</f>
        <v/>
      </c>
    </row>
    <row r="377" s="11">
      <c r="AC377" s="71">
        <f>AA377-AB377</f>
        <v/>
      </c>
      <c r="AD377" s="71">
        <f>(AA377-AB377)*Settings!$B$12</f>
        <v/>
      </c>
      <c r="AE377" s="71">
        <f>AC377+AD377</f>
        <v/>
      </c>
    </row>
    <row r="378" s="11">
      <c r="AC378" s="71">
        <f>AA378-AB378</f>
        <v/>
      </c>
      <c r="AD378" s="71">
        <f>(AA378-AB378)*Settings!$B$12</f>
        <v/>
      </c>
      <c r="AE378" s="71">
        <f>AC378+AD378</f>
        <v/>
      </c>
    </row>
    <row r="379" s="11">
      <c r="AC379" s="71">
        <f>AA379-AB379</f>
        <v/>
      </c>
      <c r="AD379" s="71">
        <f>(AA379-AB379)*Settings!$B$12</f>
        <v/>
      </c>
      <c r="AE379" s="71">
        <f>AC379+AD379</f>
        <v/>
      </c>
    </row>
    <row r="380" s="11">
      <c r="AC380" s="71">
        <f>AA380-AB380</f>
        <v/>
      </c>
      <c r="AD380" s="71">
        <f>(AA380-AB380)*Settings!$B$12</f>
        <v/>
      </c>
      <c r="AE380" s="71">
        <f>AC380+AD380</f>
        <v/>
      </c>
    </row>
    <row r="381" s="11">
      <c r="AC381" s="71">
        <f>AA381-AB381</f>
        <v/>
      </c>
      <c r="AD381" s="71">
        <f>(AA381-AB381)*Settings!$B$12</f>
        <v/>
      </c>
      <c r="AE381" s="71">
        <f>AC381+AD381</f>
        <v/>
      </c>
    </row>
    <row r="382" s="11">
      <c r="AC382" s="71">
        <f>AA382-AB382</f>
        <v/>
      </c>
      <c r="AD382" s="71">
        <f>(AA382-AB382)*Settings!$B$12</f>
        <v/>
      </c>
      <c r="AE382" s="71">
        <f>AC382+AD382</f>
        <v/>
      </c>
    </row>
    <row r="383" s="11">
      <c r="AC383" s="71">
        <f>AA383-AB383</f>
        <v/>
      </c>
      <c r="AD383" s="71">
        <f>(AA383-AB383)*Settings!$B$12</f>
        <v/>
      </c>
      <c r="AE383" s="71">
        <f>AC383+AD383</f>
        <v/>
      </c>
    </row>
    <row r="384" s="11">
      <c r="AC384" s="71">
        <f>AA384-AB384</f>
        <v/>
      </c>
      <c r="AD384" s="71">
        <f>(AA384-AB384)*Settings!$B$12</f>
        <v/>
      </c>
      <c r="AE384" s="71">
        <f>AC384+AD384</f>
        <v/>
      </c>
    </row>
    <row r="385" s="11">
      <c r="AC385" s="71">
        <f>AA385-AB385</f>
        <v/>
      </c>
      <c r="AD385" s="71">
        <f>(AA385-AB385)*Settings!$B$12</f>
        <v/>
      </c>
      <c r="AE385" s="71">
        <f>AC385+AD385</f>
        <v/>
      </c>
    </row>
    <row r="386" s="11">
      <c r="AC386" s="71">
        <f>AA386-AB386</f>
        <v/>
      </c>
      <c r="AD386" s="71">
        <f>(AA386-AB386)*Settings!$B$12</f>
        <v/>
      </c>
      <c r="AE386" s="71">
        <f>AC386+AD386</f>
        <v/>
      </c>
    </row>
    <row r="387" s="11">
      <c r="AC387" s="71">
        <f>AA387-AB387</f>
        <v/>
      </c>
      <c r="AD387" s="71">
        <f>(AA387-AB387)*Settings!$B$12</f>
        <v/>
      </c>
      <c r="AE387" s="71">
        <f>AC387+AD387</f>
        <v/>
      </c>
    </row>
    <row r="388" s="11">
      <c r="AC388" s="71">
        <f>AA388-AB388</f>
        <v/>
      </c>
      <c r="AD388" s="71">
        <f>(AA388-AB388)*Settings!$B$12</f>
        <v/>
      </c>
      <c r="AE388" s="71">
        <f>AC388+AD388</f>
        <v/>
      </c>
    </row>
    <row r="389" s="11">
      <c r="AC389" s="71">
        <f>AA389-AB389</f>
        <v/>
      </c>
      <c r="AD389" s="71">
        <f>(AA389-AB389)*Settings!$B$12</f>
        <v/>
      </c>
      <c r="AE389" s="71">
        <f>AC389+AD389</f>
        <v/>
      </c>
    </row>
    <row r="390" s="11">
      <c r="AC390" s="71">
        <f>AA390-AB390</f>
        <v/>
      </c>
      <c r="AD390" s="71">
        <f>(AA390-AB390)*Settings!$B$12</f>
        <v/>
      </c>
      <c r="AE390" s="71">
        <f>AC390+AD390</f>
        <v/>
      </c>
    </row>
    <row r="391" s="11">
      <c r="AC391" s="71">
        <f>AA391-AB391</f>
        <v/>
      </c>
      <c r="AD391" s="71">
        <f>(AA391-AB391)*Settings!$B$12</f>
        <v/>
      </c>
      <c r="AE391" s="71">
        <f>AC391+AD391</f>
        <v/>
      </c>
    </row>
    <row r="392" s="11">
      <c r="AC392" s="71">
        <f>AA392-AB392</f>
        <v/>
      </c>
      <c r="AD392" s="71">
        <f>(AA392-AB392)*Settings!$B$12</f>
        <v/>
      </c>
      <c r="AE392" s="71">
        <f>AC392+AD392</f>
        <v/>
      </c>
    </row>
    <row r="393" s="11">
      <c r="AC393" s="71">
        <f>AA393-AB393</f>
        <v/>
      </c>
      <c r="AD393" s="71">
        <f>(AA393-AB393)*Settings!$B$12</f>
        <v/>
      </c>
      <c r="AE393" s="71">
        <f>AC393+AD393</f>
        <v/>
      </c>
    </row>
    <row r="394" s="11">
      <c r="AC394" s="71">
        <f>AA394-AB394</f>
        <v/>
      </c>
      <c r="AD394" s="71">
        <f>(AA394-AB394)*Settings!$B$12</f>
        <v/>
      </c>
      <c r="AE394" s="71">
        <f>AC394+AD394</f>
        <v/>
      </c>
    </row>
    <row r="395" s="11">
      <c r="AC395" s="71">
        <f>AA395-AB395</f>
        <v/>
      </c>
      <c r="AD395" s="71">
        <f>(AA395-AB395)*Settings!$B$12</f>
        <v/>
      </c>
      <c r="AE395" s="71">
        <f>AC395+AD395</f>
        <v/>
      </c>
    </row>
    <row r="396" s="11">
      <c r="AC396" s="71">
        <f>AA396-AB396</f>
        <v/>
      </c>
      <c r="AD396" s="71">
        <f>(AA396-AB396)*Settings!$B$12</f>
        <v/>
      </c>
      <c r="AE396" s="71">
        <f>AC396+AD396</f>
        <v/>
      </c>
    </row>
    <row r="397" s="11">
      <c r="AC397" s="71">
        <f>AA397-AB397</f>
        <v/>
      </c>
      <c r="AD397" s="71">
        <f>(AA397-AB397)*Settings!$B$12</f>
        <v/>
      </c>
      <c r="AE397" s="71">
        <f>AC397+AD397</f>
        <v/>
      </c>
    </row>
    <row r="398" s="11">
      <c r="AC398" s="71">
        <f>AA398-AB398</f>
        <v/>
      </c>
      <c r="AD398" s="71">
        <f>(AA398-AB398)*Settings!$B$12</f>
        <v/>
      </c>
      <c r="AE398" s="71">
        <f>AC398+AD398</f>
        <v/>
      </c>
    </row>
    <row r="399" s="11">
      <c r="AC399" s="71">
        <f>AA399-AB399</f>
        <v/>
      </c>
      <c r="AD399" s="71">
        <f>(AA399-AB399)*Settings!$B$12</f>
        <v/>
      </c>
      <c r="AE399" s="71">
        <f>AC399+AD399</f>
        <v/>
      </c>
    </row>
    <row r="400" s="11">
      <c r="AC400" s="71">
        <f>AA400-AB400</f>
        <v/>
      </c>
      <c r="AD400" s="71">
        <f>(AA400-AB400)*Settings!$B$12</f>
        <v/>
      </c>
      <c r="AE400" s="71">
        <f>AC400+AD400</f>
        <v/>
      </c>
    </row>
    <row r="401" s="11">
      <c r="AC401" s="71">
        <f>AA401-AB401</f>
        <v/>
      </c>
      <c r="AD401" s="71">
        <f>(AA401-AB401)*Settings!$B$12</f>
        <v/>
      </c>
      <c r="AE401" s="71">
        <f>AC401+AD401</f>
        <v/>
      </c>
    </row>
    <row r="402" s="11">
      <c r="AC402" s="71">
        <f>AA402-AB402</f>
        <v/>
      </c>
      <c r="AD402" s="71">
        <f>(AA402-AB402)*Settings!$B$12</f>
        <v/>
      </c>
      <c r="AE402" s="71">
        <f>AC402+AD402</f>
        <v/>
      </c>
    </row>
    <row r="403" s="11">
      <c r="AC403" s="71">
        <f>AA403-AB403</f>
        <v/>
      </c>
      <c r="AD403" s="71">
        <f>(AA403-AB403)*Settings!$B$12</f>
        <v/>
      </c>
      <c r="AE403" s="71">
        <f>AC403+AD403</f>
        <v/>
      </c>
    </row>
    <row r="404" s="11">
      <c r="AC404" s="71">
        <f>AA404-AB404</f>
        <v/>
      </c>
      <c r="AD404" s="71">
        <f>(AA404-AB404)*Settings!$B$12</f>
        <v/>
      </c>
      <c r="AE404" s="71">
        <f>AC404+AD404</f>
        <v/>
      </c>
    </row>
    <row r="405" s="11">
      <c r="AC405" s="71">
        <f>AA405-AB405</f>
        <v/>
      </c>
      <c r="AD405" s="71">
        <f>(AA405-AB405)*Settings!$B$12</f>
        <v/>
      </c>
      <c r="AE405" s="71">
        <f>AC405+AD405</f>
        <v/>
      </c>
    </row>
    <row r="406" s="11">
      <c r="AC406" s="71">
        <f>AA406-AB406</f>
        <v/>
      </c>
      <c r="AD406" s="71">
        <f>(AA406-AB406)*Settings!$B$12</f>
        <v/>
      </c>
      <c r="AE406" s="71">
        <f>AC406+AD406</f>
        <v/>
      </c>
    </row>
    <row r="407" s="11">
      <c r="AC407" s="71">
        <f>AA407-AB407</f>
        <v/>
      </c>
      <c r="AD407" s="71">
        <f>(AA407-AB407)*Settings!$B$12</f>
        <v/>
      </c>
      <c r="AE407" s="71">
        <f>AC407+AD407</f>
        <v/>
      </c>
    </row>
    <row r="408" s="11">
      <c r="AC408" s="71">
        <f>AA408-AB408</f>
        <v/>
      </c>
      <c r="AD408" s="71">
        <f>(AA408-AB408)*Settings!$B$12</f>
        <v/>
      </c>
      <c r="AE408" s="71">
        <f>AC408+AD408</f>
        <v/>
      </c>
    </row>
    <row r="409" s="11">
      <c r="AC409" s="71">
        <f>AA409-AB409</f>
        <v/>
      </c>
      <c r="AD409" s="71">
        <f>(AA409-AB409)*Settings!$B$12</f>
        <v/>
      </c>
      <c r="AE409" s="71">
        <f>AC409+AD409</f>
        <v/>
      </c>
    </row>
    <row r="410" s="11">
      <c r="AC410" s="71">
        <f>AA410-AB410</f>
        <v/>
      </c>
      <c r="AD410" s="71">
        <f>(AA410-AB410)*Settings!$B$12</f>
        <v/>
      </c>
      <c r="AE410" s="71">
        <f>AC410+AD410</f>
        <v/>
      </c>
    </row>
    <row r="411" s="11">
      <c r="AC411" s="71">
        <f>AA411-AB411</f>
        <v/>
      </c>
      <c r="AD411" s="71">
        <f>(AA411-AB411)*Settings!$B$12</f>
        <v/>
      </c>
      <c r="AE411" s="71">
        <f>AC411+AD411</f>
        <v/>
      </c>
    </row>
    <row r="412" s="11">
      <c r="AC412" s="71">
        <f>AA412-AB412</f>
        <v/>
      </c>
      <c r="AD412" s="71">
        <f>(AA412-AB412)*Settings!$B$12</f>
        <v/>
      </c>
      <c r="AE412" s="71">
        <f>AC412+AD412</f>
        <v/>
      </c>
    </row>
    <row r="413" s="11">
      <c r="AC413" s="71">
        <f>AA413-AB413</f>
        <v/>
      </c>
      <c r="AD413" s="71">
        <f>(AA413-AB413)*Settings!$B$12</f>
        <v/>
      </c>
      <c r="AE413" s="71">
        <f>AC413+AD413</f>
        <v/>
      </c>
    </row>
    <row r="414" s="11">
      <c r="AC414" s="71">
        <f>AA414-AB414</f>
        <v/>
      </c>
      <c r="AD414" s="71">
        <f>(AA414-AB414)*Settings!$B$12</f>
        <v/>
      </c>
      <c r="AE414" s="71">
        <f>AC414+AD414</f>
        <v/>
      </c>
    </row>
    <row r="415" s="11">
      <c r="AC415" s="71">
        <f>AA415-AB415</f>
        <v/>
      </c>
      <c r="AD415" s="71">
        <f>(AA415-AB415)*Settings!$B$12</f>
        <v/>
      </c>
      <c r="AE415" s="71">
        <f>AC415+AD415</f>
        <v/>
      </c>
    </row>
    <row r="416" s="11">
      <c r="AC416" s="71">
        <f>AA416-AB416</f>
        <v/>
      </c>
      <c r="AD416" s="71">
        <f>(AA416-AB416)*Settings!$B$12</f>
        <v/>
      </c>
      <c r="AE416" s="71">
        <f>AC416+AD416</f>
        <v/>
      </c>
    </row>
    <row r="417" s="11">
      <c r="AC417" s="71">
        <f>AA417-AB417</f>
        <v/>
      </c>
      <c r="AD417" s="71">
        <f>(AA417-AB417)*Settings!$B$12</f>
        <v/>
      </c>
      <c r="AE417" s="71">
        <f>AC417+AD417</f>
        <v/>
      </c>
    </row>
    <row r="418" s="11">
      <c r="AC418" s="71">
        <f>AA418-AB418</f>
        <v/>
      </c>
      <c r="AD418" s="71">
        <f>(AA418-AB418)*Settings!$B$12</f>
        <v/>
      </c>
      <c r="AE418" s="71">
        <f>AC418+AD418</f>
        <v/>
      </c>
    </row>
    <row r="419" s="11">
      <c r="AC419" s="71">
        <f>AA419-AB419</f>
        <v/>
      </c>
      <c r="AD419" s="71">
        <f>(AA419-AB419)*Settings!$B$12</f>
        <v/>
      </c>
      <c r="AE419" s="71">
        <f>AC419+AD419</f>
        <v/>
      </c>
    </row>
    <row r="420" s="11">
      <c r="AC420" s="71">
        <f>AA420-AB420</f>
        <v/>
      </c>
      <c r="AD420" s="71">
        <f>(AA420-AB420)*Settings!$B$12</f>
        <v/>
      </c>
      <c r="AE420" s="71">
        <f>AC420+AD420</f>
        <v/>
      </c>
    </row>
    <row r="421" s="11">
      <c r="AC421" s="71">
        <f>AA421-AB421</f>
        <v/>
      </c>
      <c r="AD421" s="71">
        <f>(AA421-AB421)*Settings!$B$12</f>
        <v/>
      </c>
      <c r="AE421" s="71">
        <f>AC421+AD421</f>
        <v/>
      </c>
    </row>
    <row r="422" s="11">
      <c r="AC422" s="71">
        <f>AA422-AB422</f>
        <v/>
      </c>
      <c r="AD422" s="71">
        <f>(AA422-AB422)*Settings!$B$12</f>
        <v/>
      </c>
      <c r="AE422" s="71">
        <f>AC422+AD422</f>
        <v/>
      </c>
    </row>
    <row r="423" s="11">
      <c r="AC423" s="71">
        <f>AA423-AB423</f>
        <v/>
      </c>
      <c r="AD423" s="71">
        <f>(AA423-AB423)*Settings!$B$12</f>
        <v/>
      </c>
      <c r="AE423" s="71">
        <f>AC423+AD423</f>
        <v/>
      </c>
    </row>
    <row r="424" s="11">
      <c r="AC424" s="71">
        <f>AA424-AB424</f>
        <v/>
      </c>
      <c r="AD424" s="71">
        <f>(AA424-AB424)*Settings!$B$12</f>
        <v/>
      </c>
      <c r="AE424" s="71">
        <f>AC424+AD424</f>
        <v/>
      </c>
    </row>
    <row r="425" s="11">
      <c r="AC425" s="71">
        <f>AA425-AB425</f>
        <v/>
      </c>
      <c r="AD425" s="71">
        <f>(AA425-AB425)*Settings!$B$12</f>
        <v/>
      </c>
      <c r="AE425" s="71">
        <f>AC425+AD425</f>
        <v/>
      </c>
    </row>
    <row r="426" s="11">
      <c r="AC426" s="71">
        <f>AA426-AB426</f>
        <v/>
      </c>
      <c r="AD426" s="71">
        <f>(AA426-AB426)*Settings!$B$12</f>
        <v/>
      </c>
      <c r="AE426" s="71">
        <f>AC426+AD426</f>
        <v/>
      </c>
    </row>
    <row r="427" s="11">
      <c r="AC427" s="71">
        <f>AA427-AB427</f>
        <v/>
      </c>
      <c r="AD427" s="71">
        <f>(AA427-AB427)*Settings!$B$12</f>
        <v/>
      </c>
      <c r="AE427" s="71">
        <f>AC427+AD427</f>
        <v/>
      </c>
    </row>
    <row r="428" s="11">
      <c r="AC428" s="71">
        <f>AA428-AB428</f>
        <v/>
      </c>
      <c r="AD428" s="71">
        <f>(AA428-AB428)*Settings!$B$12</f>
        <v/>
      </c>
      <c r="AE428" s="71">
        <f>AC428+AD428</f>
        <v/>
      </c>
    </row>
    <row r="429" s="11">
      <c r="AC429" s="71">
        <f>AA429-AB429</f>
        <v/>
      </c>
      <c r="AD429" s="71">
        <f>(AA429-AB429)*Settings!$B$12</f>
        <v/>
      </c>
      <c r="AE429" s="71">
        <f>AC429+AD429</f>
        <v/>
      </c>
    </row>
    <row r="430" s="11">
      <c r="AC430" s="71">
        <f>AA430-AB430</f>
        <v/>
      </c>
      <c r="AD430" s="71">
        <f>(AA430-AB430)*Settings!$B$12</f>
        <v/>
      </c>
      <c r="AE430" s="71">
        <f>AC430+AD430</f>
        <v/>
      </c>
    </row>
    <row r="431" s="11">
      <c r="AC431" s="71">
        <f>AA431-AB431</f>
        <v/>
      </c>
      <c r="AD431" s="71">
        <f>(AA431-AB431)*Settings!$B$12</f>
        <v/>
      </c>
      <c r="AE431" s="71">
        <f>AC431+AD431</f>
        <v/>
      </c>
    </row>
    <row r="432" s="11">
      <c r="AC432" s="71">
        <f>AA432-AB432</f>
        <v/>
      </c>
      <c r="AD432" s="71">
        <f>(AA432-AB432)*Settings!$B$12</f>
        <v/>
      </c>
      <c r="AE432" s="71">
        <f>AC432+AD432</f>
        <v/>
      </c>
    </row>
    <row r="433" s="11">
      <c r="AC433" s="71">
        <f>AA433-AB433</f>
        <v/>
      </c>
      <c r="AD433" s="71">
        <f>(AA433-AB433)*Settings!$B$12</f>
        <v/>
      </c>
      <c r="AE433" s="71">
        <f>AC433+AD433</f>
        <v/>
      </c>
    </row>
    <row r="434" s="11">
      <c r="AC434" s="71">
        <f>AA434-AB434</f>
        <v/>
      </c>
      <c r="AD434" s="71">
        <f>(AA434-AB434)*Settings!$B$12</f>
        <v/>
      </c>
      <c r="AE434" s="71">
        <f>AC434+AD434</f>
        <v/>
      </c>
    </row>
    <row r="435" s="11">
      <c r="AC435" s="71">
        <f>AA435-AB435</f>
        <v/>
      </c>
      <c r="AD435" s="71">
        <f>(AA435-AB435)*Settings!$B$12</f>
        <v/>
      </c>
      <c r="AE435" s="71">
        <f>AC435+AD435</f>
        <v/>
      </c>
    </row>
    <row r="436" s="11">
      <c r="AC436" s="71">
        <f>AA436-AB436</f>
        <v/>
      </c>
      <c r="AD436" s="71">
        <f>(AA436-AB436)*Settings!$B$12</f>
        <v/>
      </c>
      <c r="AE436" s="71">
        <f>AC436+AD436</f>
        <v/>
      </c>
    </row>
    <row r="437" s="11">
      <c r="AC437" s="71">
        <f>AA437-AB437</f>
        <v/>
      </c>
      <c r="AD437" s="71">
        <f>(AA437-AB437)*Settings!$B$12</f>
        <v/>
      </c>
      <c r="AE437" s="71">
        <f>AC437+AD437</f>
        <v/>
      </c>
    </row>
    <row r="438" s="11">
      <c r="AC438" s="71">
        <f>AA438-AB438</f>
        <v/>
      </c>
      <c r="AD438" s="71">
        <f>(AA438-AB438)*Settings!$B$12</f>
        <v/>
      </c>
      <c r="AE438" s="71">
        <f>AC438+AD438</f>
        <v/>
      </c>
    </row>
    <row r="439" s="11">
      <c r="AC439" s="71">
        <f>AA439-AB439</f>
        <v/>
      </c>
      <c r="AD439" s="71">
        <f>(AA439-AB439)*Settings!$B$12</f>
        <v/>
      </c>
      <c r="AE439" s="71">
        <f>AC439+AD439</f>
        <v/>
      </c>
    </row>
    <row r="440" s="11">
      <c r="AC440" s="71">
        <f>AA440-AB440</f>
        <v/>
      </c>
      <c r="AD440" s="71">
        <f>(AA440-AB440)*Settings!$B$12</f>
        <v/>
      </c>
      <c r="AE440" s="71">
        <f>AC440+AD440</f>
        <v/>
      </c>
    </row>
    <row r="441" s="11">
      <c r="AC441" s="71">
        <f>AA441-AB441</f>
        <v/>
      </c>
      <c r="AD441" s="71">
        <f>(AA441-AB441)*Settings!$B$12</f>
        <v/>
      </c>
      <c r="AE441" s="71">
        <f>AC441+AD441</f>
        <v/>
      </c>
    </row>
    <row r="442" s="11">
      <c r="AC442" s="71">
        <f>AA442-AB442</f>
        <v/>
      </c>
      <c r="AD442" s="71">
        <f>(AA442-AB442)*Settings!$B$12</f>
        <v/>
      </c>
      <c r="AE442" s="71">
        <f>AC442+AD442</f>
        <v/>
      </c>
    </row>
    <row r="443" s="11">
      <c r="AC443" s="71">
        <f>AA443-AB443</f>
        <v/>
      </c>
      <c r="AD443" s="71">
        <f>(AA443-AB443)*Settings!$B$12</f>
        <v/>
      </c>
      <c r="AE443" s="71">
        <f>AC443+AD443</f>
        <v/>
      </c>
    </row>
    <row r="444" s="11">
      <c r="AC444" s="71">
        <f>AA444-AB444</f>
        <v/>
      </c>
      <c r="AD444" s="71">
        <f>(AA444-AB444)*Settings!$B$12</f>
        <v/>
      </c>
      <c r="AE444" s="71">
        <f>AC444+AD444</f>
        <v/>
      </c>
    </row>
    <row r="445" s="11">
      <c r="AC445" s="71">
        <f>AA445-AB445</f>
        <v/>
      </c>
      <c r="AD445" s="71">
        <f>(AA445-AB445)*Settings!$B$12</f>
        <v/>
      </c>
      <c r="AE445" s="71">
        <f>AC445+AD445</f>
        <v/>
      </c>
    </row>
    <row r="446" s="11">
      <c r="AC446" s="71">
        <f>AA446-AB446</f>
        <v/>
      </c>
      <c r="AD446" s="71">
        <f>(AA446-AB446)*Settings!$B$12</f>
        <v/>
      </c>
      <c r="AE446" s="71">
        <f>AC446+AD446</f>
        <v/>
      </c>
    </row>
    <row r="447" s="11">
      <c r="AC447" s="71">
        <f>AA447-AB447</f>
        <v/>
      </c>
      <c r="AD447" s="71">
        <f>(AA447-AB447)*Settings!$B$12</f>
        <v/>
      </c>
      <c r="AE447" s="71">
        <f>AC447+AD447</f>
        <v/>
      </c>
    </row>
    <row r="448" s="11">
      <c r="AC448" s="71">
        <f>AA448-AB448</f>
        <v/>
      </c>
      <c r="AD448" s="71">
        <f>(AA448-AB448)*Settings!$B$12</f>
        <v/>
      </c>
      <c r="AE448" s="71">
        <f>AC448+AD448</f>
        <v/>
      </c>
    </row>
    <row r="449" s="11">
      <c r="AC449" s="71">
        <f>AA449-AB449</f>
        <v/>
      </c>
      <c r="AD449" s="71">
        <f>(AA449-AB449)*Settings!$B$12</f>
        <v/>
      </c>
      <c r="AE449" s="71">
        <f>AC449+AD449</f>
        <v/>
      </c>
    </row>
    <row r="450" s="11">
      <c r="AC450" s="71">
        <f>AA450-AB450</f>
        <v/>
      </c>
      <c r="AD450" s="71">
        <f>(AA450-AB450)*Settings!$B$12</f>
        <v/>
      </c>
      <c r="AE450" s="71">
        <f>AC450+AD450</f>
        <v/>
      </c>
    </row>
    <row r="451" s="11">
      <c r="AC451" s="71">
        <f>AA451-AB451</f>
        <v/>
      </c>
      <c r="AD451" s="71">
        <f>(AA451-AB451)*Settings!$B$12</f>
        <v/>
      </c>
      <c r="AE451" s="71">
        <f>AC451+AD451</f>
        <v/>
      </c>
    </row>
    <row r="452" s="11">
      <c r="AC452" s="71">
        <f>AA452-AB452</f>
        <v/>
      </c>
      <c r="AD452" s="71">
        <f>(AA452-AB452)*Settings!$B$12</f>
        <v/>
      </c>
      <c r="AE452" s="71">
        <f>AC452+AD452</f>
        <v/>
      </c>
    </row>
    <row r="453" s="11">
      <c r="AC453" s="71">
        <f>AA453-AB453</f>
        <v/>
      </c>
      <c r="AD453" s="71">
        <f>(AA453-AB453)*Settings!$B$12</f>
        <v/>
      </c>
      <c r="AE453" s="71">
        <f>AC453+AD453</f>
        <v/>
      </c>
    </row>
    <row r="454" s="11">
      <c r="AC454" s="71">
        <f>AA454-AB454</f>
        <v/>
      </c>
      <c r="AD454" s="71">
        <f>(AA454-AB454)*Settings!$B$12</f>
        <v/>
      </c>
      <c r="AE454" s="71">
        <f>AC454+AD454</f>
        <v/>
      </c>
    </row>
    <row r="455" s="11">
      <c r="AC455" s="71">
        <f>AA455-AB455</f>
        <v/>
      </c>
      <c r="AD455" s="71">
        <f>(AA455-AB455)*Settings!$B$12</f>
        <v/>
      </c>
      <c r="AE455" s="71">
        <f>AC455+AD455</f>
        <v/>
      </c>
    </row>
    <row r="456" s="11">
      <c r="AC456" s="71">
        <f>AA456-AB456</f>
        <v/>
      </c>
      <c r="AD456" s="71">
        <f>(AA456-AB456)*Settings!$B$12</f>
        <v/>
      </c>
      <c r="AE456" s="71">
        <f>AC456+AD456</f>
        <v/>
      </c>
    </row>
    <row r="457" s="11">
      <c r="AC457" s="71">
        <f>AA457-AB457</f>
        <v/>
      </c>
      <c r="AD457" s="71">
        <f>(AA457-AB457)*Settings!$B$12</f>
        <v/>
      </c>
      <c r="AE457" s="71">
        <f>AC457+AD457</f>
        <v/>
      </c>
    </row>
    <row r="458" s="11">
      <c r="AC458" s="71">
        <f>AA458-AB458</f>
        <v/>
      </c>
      <c r="AD458" s="71">
        <f>(AA458-AB458)*Settings!$B$12</f>
        <v/>
      </c>
      <c r="AE458" s="71">
        <f>AC458+AD458</f>
        <v/>
      </c>
    </row>
    <row r="459" s="11">
      <c r="AC459" s="71">
        <f>AA459-AB459</f>
        <v/>
      </c>
      <c r="AD459" s="71">
        <f>(AA459-AB459)*Settings!$B$12</f>
        <v/>
      </c>
      <c r="AE459" s="71">
        <f>AC459+AD459</f>
        <v/>
      </c>
    </row>
    <row r="460" s="11">
      <c r="AC460" s="71">
        <f>AA460-AB460</f>
        <v/>
      </c>
      <c r="AD460" s="71">
        <f>(AA460-AB460)*Settings!$B$12</f>
        <v/>
      </c>
      <c r="AE460" s="71">
        <f>AC460+AD460</f>
        <v/>
      </c>
    </row>
    <row r="461" s="11">
      <c r="AC461" s="71">
        <f>AA461-AB461</f>
        <v/>
      </c>
      <c r="AD461" s="71">
        <f>(AA461-AB461)*Settings!$B$12</f>
        <v/>
      </c>
      <c r="AE461" s="71">
        <f>AC461+AD461</f>
        <v/>
      </c>
    </row>
    <row r="462" s="11">
      <c r="AC462" s="71">
        <f>AA462-AB462</f>
        <v/>
      </c>
      <c r="AD462" s="71">
        <f>(AA462-AB462)*Settings!$B$12</f>
        <v/>
      </c>
      <c r="AE462" s="71">
        <f>AC462+AD462</f>
        <v/>
      </c>
    </row>
    <row r="463" s="11">
      <c r="AC463" s="71">
        <f>AA463-AB463</f>
        <v/>
      </c>
      <c r="AD463" s="71">
        <f>(AA463-AB463)*Settings!$B$12</f>
        <v/>
      </c>
      <c r="AE463" s="71">
        <f>AC463+AD463</f>
        <v/>
      </c>
    </row>
    <row r="464" s="11">
      <c r="AC464" s="71">
        <f>AA464-AB464</f>
        <v/>
      </c>
      <c r="AD464" s="71">
        <f>(AA464-AB464)*Settings!$B$12</f>
        <v/>
      </c>
      <c r="AE464" s="71">
        <f>AC464+AD464</f>
        <v/>
      </c>
    </row>
    <row r="465" s="11">
      <c r="AC465" s="71">
        <f>AA465-AB465</f>
        <v/>
      </c>
      <c r="AD465" s="71">
        <f>(AA465-AB465)*Settings!$B$12</f>
        <v/>
      </c>
      <c r="AE465" s="71">
        <f>AC465+AD465</f>
        <v/>
      </c>
    </row>
    <row r="466" s="11">
      <c r="AC466" s="71">
        <f>AA466-AB466</f>
        <v/>
      </c>
      <c r="AD466" s="71">
        <f>(AA466-AB466)*Settings!$B$12</f>
        <v/>
      </c>
      <c r="AE466" s="71">
        <f>AC466+AD466</f>
        <v/>
      </c>
    </row>
    <row r="467" s="11">
      <c r="AC467" s="71">
        <f>AA467-AB467</f>
        <v/>
      </c>
      <c r="AD467" s="71">
        <f>(AA467-AB467)*Settings!$B$12</f>
        <v/>
      </c>
      <c r="AE467" s="71">
        <f>AC467+AD467</f>
        <v/>
      </c>
    </row>
    <row r="468" s="11">
      <c r="AC468" s="71">
        <f>AA468-AB468</f>
        <v/>
      </c>
      <c r="AD468" s="71">
        <f>(AA468-AB468)*Settings!$B$12</f>
        <v/>
      </c>
      <c r="AE468" s="71">
        <f>AC468+AD468</f>
        <v/>
      </c>
    </row>
    <row r="469" s="11">
      <c r="AC469" s="71">
        <f>AA469-AB469</f>
        <v/>
      </c>
      <c r="AD469" s="71">
        <f>(AA469-AB469)*Settings!$B$12</f>
        <v/>
      </c>
      <c r="AE469" s="71">
        <f>AC469+AD469</f>
        <v/>
      </c>
    </row>
    <row r="470" s="11">
      <c r="AC470" s="71">
        <f>AA470-AB470</f>
        <v/>
      </c>
      <c r="AD470" s="71">
        <f>(AA470-AB470)*Settings!$B$12</f>
        <v/>
      </c>
      <c r="AE470" s="71">
        <f>AC470+AD470</f>
        <v/>
      </c>
    </row>
    <row r="471" s="11">
      <c r="AC471" s="71">
        <f>AA471-AB471</f>
        <v/>
      </c>
      <c r="AD471" s="71">
        <f>(AA471-AB471)*Settings!$B$12</f>
        <v/>
      </c>
      <c r="AE471" s="71">
        <f>AC471+AD471</f>
        <v/>
      </c>
    </row>
    <row r="472" s="11">
      <c r="AC472" s="71">
        <f>AA472-AB472</f>
        <v/>
      </c>
      <c r="AD472" s="71">
        <f>(AA472-AB472)*Settings!$B$12</f>
        <v/>
      </c>
      <c r="AE472" s="71">
        <f>AC472+AD472</f>
        <v/>
      </c>
    </row>
    <row r="473" s="11">
      <c r="AC473" s="71">
        <f>AA473-AB473</f>
        <v/>
      </c>
      <c r="AD473" s="71">
        <f>(AA473-AB473)*Settings!$B$12</f>
        <v/>
      </c>
      <c r="AE473" s="71">
        <f>AC473+AD473</f>
        <v/>
      </c>
    </row>
    <row r="474" s="11">
      <c r="AC474" s="71">
        <f>AA474-AB474</f>
        <v/>
      </c>
      <c r="AD474" s="71">
        <f>(AA474-AB474)*Settings!$B$12</f>
        <v/>
      </c>
      <c r="AE474" s="71">
        <f>AC474+AD474</f>
        <v/>
      </c>
    </row>
    <row r="475" s="11">
      <c r="AC475" s="71">
        <f>AA475-AB475</f>
        <v/>
      </c>
      <c r="AD475" s="71">
        <f>(AA475-AB475)*Settings!$B$12</f>
        <v/>
      </c>
      <c r="AE475" s="71">
        <f>AC475+AD475</f>
        <v/>
      </c>
    </row>
    <row r="476" s="11">
      <c r="AC476" s="71">
        <f>AA476-AB476</f>
        <v/>
      </c>
      <c r="AD476" s="71">
        <f>(AA476-AB476)*Settings!$B$12</f>
        <v/>
      </c>
      <c r="AE476" s="71">
        <f>AC476+AD476</f>
        <v/>
      </c>
    </row>
    <row r="477" s="11">
      <c r="AC477" s="71">
        <f>AA477-AB477</f>
        <v/>
      </c>
      <c r="AD477" s="71">
        <f>(AA477-AB477)*Settings!$B$12</f>
        <v/>
      </c>
      <c r="AE477" s="71">
        <f>AC477+AD477</f>
        <v/>
      </c>
    </row>
    <row r="478" s="11">
      <c r="AC478" s="71">
        <f>AA478-AB478</f>
        <v/>
      </c>
      <c r="AD478" s="71">
        <f>(AA478-AB478)*Settings!$B$12</f>
        <v/>
      </c>
      <c r="AE478" s="71">
        <f>AC478+AD478</f>
        <v/>
      </c>
    </row>
    <row r="479" s="11">
      <c r="AC479" s="71">
        <f>AA479-AB479</f>
        <v/>
      </c>
      <c r="AD479" s="71">
        <f>(AA479-AB479)*Settings!$B$12</f>
        <v/>
      </c>
      <c r="AE479" s="71">
        <f>AC479+AD479</f>
        <v/>
      </c>
    </row>
    <row r="480" s="11">
      <c r="AC480" s="71">
        <f>AA480-AB480</f>
        <v/>
      </c>
      <c r="AD480" s="71">
        <f>(AA480-AB480)*Settings!$B$12</f>
        <v/>
      </c>
      <c r="AE480" s="71">
        <f>AC480+AD480</f>
        <v/>
      </c>
    </row>
    <row r="481" s="11">
      <c r="AC481" s="71">
        <f>AA481-AB481</f>
        <v/>
      </c>
      <c r="AD481" s="71">
        <f>(AA481-AB481)*Settings!$B$12</f>
        <v/>
      </c>
      <c r="AE481" s="71">
        <f>AC481+AD481</f>
        <v/>
      </c>
    </row>
    <row r="482" s="11">
      <c r="AC482" s="71">
        <f>AA482-AB482</f>
        <v/>
      </c>
      <c r="AD482" s="71">
        <f>(AA482-AB482)*Settings!$B$12</f>
        <v/>
      </c>
      <c r="AE482" s="71">
        <f>AC482+AD482</f>
        <v/>
      </c>
    </row>
    <row r="483" s="11">
      <c r="AC483" s="71">
        <f>AA483-AB483</f>
        <v/>
      </c>
      <c r="AD483" s="71">
        <f>(AA483-AB483)*Settings!$B$12</f>
        <v/>
      </c>
      <c r="AE483" s="71">
        <f>AC483+AD483</f>
        <v/>
      </c>
    </row>
    <row r="484" s="11">
      <c r="AC484" s="71">
        <f>AA484-AB484</f>
        <v/>
      </c>
      <c r="AD484" s="71">
        <f>(AA484-AB484)*Settings!$B$12</f>
        <v/>
      </c>
      <c r="AE484" s="71">
        <f>AC484+AD484</f>
        <v/>
      </c>
    </row>
    <row r="485" s="11">
      <c r="AC485" s="71">
        <f>AA485-AB485</f>
        <v/>
      </c>
      <c r="AD485" s="71">
        <f>(AA485-AB485)*Settings!$B$12</f>
        <v/>
      </c>
      <c r="AE485" s="71">
        <f>AC485+AD485</f>
        <v/>
      </c>
    </row>
    <row r="486" s="11">
      <c r="AC486" s="71">
        <f>AA486-AB486</f>
        <v/>
      </c>
      <c r="AD486" s="71">
        <f>(AA486-AB486)*Settings!$B$12</f>
        <v/>
      </c>
      <c r="AE486" s="71">
        <f>AC486+AD486</f>
        <v/>
      </c>
    </row>
    <row r="487" s="11">
      <c r="AC487" s="71">
        <f>AA487-AB487</f>
        <v/>
      </c>
      <c r="AD487" s="71">
        <f>(AA487-AB487)*Settings!$B$12</f>
        <v/>
      </c>
      <c r="AE487" s="71">
        <f>AC487+AD487</f>
        <v/>
      </c>
    </row>
    <row r="488" s="11">
      <c r="AC488" s="71">
        <f>AA488-AB488</f>
        <v/>
      </c>
      <c r="AD488" s="71">
        <f>(AA488-AB488)*Settings!$B$12</f>
        <v/>
      </c>
      <c r="AE488" s="71">
        <f>AC488+AD488</f>
        <v/>
      </c>
    </row>
    <row r="489" s="11">
      <c r="AC489" s="71">
        <f>AA489-AB489</f>
        <v/>
      </c>
      <c r="AD489" s="71">
        <f>(AA489-AB489)*Settings!$B$12</f>
        <v/>
      </c>
      <c r="AE489" s="71">
        <f>AC489+AD489</f>
        <v/>
      </c>
    </row>
    <row r="490" s="11">
      <c r="AC490" s="71">
        <f>AA490-AB490</f>
        <v/>
      </c>
      <c r="AD490" s="71">
        <f>(AA490-AB490)*Settings!$B$12</f>
        <v/>
      </c>
      <c r="AE490" s="71">
        <f>AC490+AD490</f>
        <v/>
      </c>
    </row>
    <row r="491" s="11">
      <c r="AC491" s="71">
        <f>AA491-AB491</f>
        <v/>
      </c>
      <c r="AD491" s="71">
        <f>(AA491-AB491)*Settings!$B$12</f>
        <v/>
      </c>
      <c r="AE491" s="71">
        <f>AC491+AD491</f>
        <v/>
      </c>
    </row>
    <row r="492" s="11">
      <c r="AC492" s="71">
        <f>AA492-AB492</f>
        <v/>
      </c>
      <c r="AD492" s="71">
        <f>(AA492-AB492)*Settings!$B$12</f>
        <v/>
      </c>
      <c r="AE492" s="71">
        <f>AC492+AD492</f>
        <v/>
      </c>
    </row>
    <row r="493" s="11">
      <c r="AC493" s="71">
        <f>AA493-AB493</f>
        <v/>
      </c>
      <c r="AD493" s="71">
        <f>(AA493-AB493)*Settings!$B$12</f>
        <v/>
      </c>
      <c r="AE493" s="71">
        <f>AC493+AD493</f>
        <v/>
      </c>
    </row>
    <row r="494" s="11">
      <c r="AC494" s="71">
        <f>AA494-AB494</f>
        <v/>
      </c>
      <c r="AD494" s="71">
        <f>(AA494-AB494)*Settings!$B$12</f>
        <v/>
      </c>
      <c r="AE494" s="71">
        <f>AC494+AD494</f>
        <v/>
      </c>
    </row>
    <row r="495" s="11">
      <c r="AC495" s="71">
        <f>AA495-AB495</f>
        <v/>
      </c>
      <c r="AD495" s="71">
        <f>(AA495-AB495)*Settings!$B$12</f>
        <v/>
      </c>
      <c r="AE495" s="71">
        <f>AC495+AD495</f>
        <v/>
      </c>
    </row>
    <row r="496" s="11">
      <c r="AC496" s="71">
        <f>AA496-AB496</f>
        <v/>
      </c>
      <c r="AD496" s="71">
        <f>(AA496-AB496)*Settings!$B$12</f>
        <v/>
      </c>
      <c r="AE496" s="71">
        <f>AC496+AD496</f>
        <v/>
      </c>
    </row>
    <row r="497" s="11">
      <c r="AC497" s="71">
        <f>AA497-AB497</f>
        <v/>
      </c>
      <c r="AD497" s="71">
        <f>(AA497-AB497)*Settings!$B$12</f>
        <v/>
      </c>
      <c r="AE497" s="71">
        <f>AC497+AD497</f>
        <v/>
      </c>
    </row>
    <row r="498" s="11">
      <c r="AC498" s="71">
        <f>AA498-AB498</f>
        <v/>
      </c>
      <c r="AD498" s="71">
        <f>(AA498-AB498)*Settings!$B$12</f>
        <v/>
      </c>
      <c r="AE498" s="71">
        <f>AC498+AD498</f>
        <v/>
      </c>
    </row>
    <row r="499" s="11">
      <c r="AC499" s="71">
        <f>AA499-AB499</f>
        <v/>
      </c>
      <c r="AD499" s="71">
        <f>(AA499-AB499)*Settings!$B$12</f>
        <v/>
      </c>
      <c r="AE499" s="71">
        <f>AC499+AD499</f>
        <v/>
      </c>
    </row>
    <row r="500" s="11">
      <c r="AC500" s="71">
        <f>AA500-AB500</f>
        <v/>
      </c>
      <c r="AD500" s="71">
        <f>(AA500-AB500)*Settings!$B$12</f>
        <v/>
      </c>
      <c r="AE500" s="71">
        <f>AC500+AD500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dataValidations count="1">
    <dataValidation sqref="T3:T502 V3:V502" showDropDown="0" showInputMessage="1" showErrorMessage="1" allowBlank="1" type="list">
      <formula1>"min,hour,day"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ySplit="3" topLeftCell="A4" activePane="bottomLeft" state="frozen"/>
      <selection pane="bottomLeft" activeCell="G100" sqref="G100"/>
    </sheetView>
  </sheetViews>
  <sheetFormatPr baseColWidth="8" defaultRowHeight="14.5"/>
  <cols>
    <col width="13" customWidth="1" style="11" min="1" max="1"/>
    <col width="16" customWidth="1" style="11" min="2" max="2"/>
    <col width="8" customWidth="1" style="11" min="3" max="3"/>
    <col width="11" customWidth="1" style="11" min="4" max="4"/>
    <col width="13" customWidth="1" style="11" min="5" max="5"/>
    <col width="22" customWidth="1" style="11" min="6" max="6"/>
    <col width="24" customWidth="1" style="11" min="7" max="7"/>
    <col width="14" customWidth="1" style="11" min="8" max="8"/>
    <col width="6" customWidth="1" style="11" min="9" max="9"/>
    <col width="8" customWidth="1" style="11" min="10" max="10"/>
    <col width="14" customWidth="1" style="11" min="11" max="11"/>
    <col width="14" customWidth="1" style="11" min="12" max="12"/>
    <col width="13" customWidth="1" style="11" min="13" max="13"/>
    <col width="13" customWidth="1" style="11" min="14" max="14"/>
    <col width="18" customWidth="1" style="11" min="15" max="15"/>
    <col width="14" customWidth="1" style="11" min="16" max="16"/>
    <col width="13" customWidth="1" style="11" min="17" max="17"/>
    <col width="30" customWidth="1" style="11" min="18" max="18"/>
  </cols>
  <sheetData>
    <row r="1" ht="24" customHeight="1" s="11">
      <c r="A1" s="88" t="inlineStr">
        <is>
          <t>🗺️  DAILY ROUTE PLANNER — AI-Prowler Route Optimization</t>
        </is>
      </c>
      <c r="S1" s="34" t="n"/>
      <c r="T1" s="34" t="n"/>
    </row>
    <row r="2" ht="30" customHeight="1" s="11">
      <c r="A2" s="89" t="inlineStr">
        <is>
          <t>★ Ask AI-Prowler: "Optimize my route for [DATE] and build a map URL for all stops"  →  AI will fill Lat/Lon, reorder stops, and generate the Google Maps waypoint URL</t>
        </is>
      </c>
      <c r="S2" s="34" t="n"/>
      <c r="T2" s="34" t="n"/>
      <c r="U2" s="34" t="n"/>
    </row>
    <row r="3" ht="40" customHeight="1" s="11">
      <c r="A3" s="90" t="inlineStr">
        <is>
          <t>Route Date</t>
        </is>
      </c>
      <c r="B3" s="91" t="inlineStr">
        <is>
          <t>Crew / Technician</t>
        </is>
      </c>
      <c r="C3" s="91" t="inlineStr">
        <is>
          <t>Stop #</t>
        </is>
      </c>
      <c r="D3" s="91" t="inlineStr">
        <is>
          <t>JobID</t>
        </is>
      </c>
      <c r="E3" s="91" t="inlineStr">
        <is>
          <t>CustomerID</t>
        </is>
      </c>
      <c r="F3" s="91" t="inlineStr">
        <is>
          <t>Customer Name / Company</t>
        </is>
      </c>
      <c r="G3" s="91" t="inlineStr">
        <is>
          <t>Street Address ★ AI Geocode</t>
        </is>
      </c>
      <c r="H3" s="91" t="inlineStr">
        <is>
          <t>City</t>
        </is>
      </c>
      <c r="I3" s="91" t="inlineStr">
        <is>
          <t>State</t>
        </is>
      </c>
      <c r="J3" s="91" t="inlineStr">
        <is>
          <t>ZIP</t>
        </is>
      </c>
      <c r="K3" s="91" t="inlineStr">
        <is>
          <t>Latitude (AI Fill)</t>
        </is>
      </c>
      <c r="L3" s="91" t="inlineStr">
        <is>
          <t>Longitude (AI Fill)</t>
        </is>
      </c>
      <c r="M3" s="91" t="inlineStr">
        <is>
          <t>Sched. Arrival</t>
        </is>
      </c>
      <c r="N3" s="91" t="inlineStr">
        <is>
          <t>Sched. Depart</t>
        </is>
      </c>
      <c r="O3" s="91" t="inlineStr">
        <is>
          <t>Drive Time from Prev. (min)</t>
        </is>
      </c>
      <c r="P3" s="91" t="inlineStr">
        <is>
          <t>Service Type</t>
        </is>
      </c>
      <c r="Q3" s="91" t="inlineStr">
        <is>
          <t>Duration (min)</t>
        </is>
      </c>
      <c r="R3" s="91" t="inlineStr">
        <is>
          <t>Waypoint Map URL ★ AI Prowler</t>
        </is>
      </c>
      <c r="S3" s="38" t="n"/>
      <c r="T3" s="34" t="n"/>
      <c r="U3" s="34" t="n"/>
      <c r="V3" s="34" t="n"/>
    </row>
    <row r="4" customFormat="1" s="9">
      <c r="A4" s="103" t="inlineStr">
        <is>
          <t>08/25/2026</t>
        </is>
      </c>
      <c r="B4" s="104" t="inlineStr">
        <is>
          <t>Carlos R.</t>
        </is>
      </c>
      <c r="C4" s="105" t="inlineStr">
        <is>
          <t>1</t>
        </is>
      </c>
      <c r="D4" s="104" t="inlineStr">
        <is>
          <t>JOB-0001</t>
        </is>
      </c>
      <c r="E4" s="104" t="inlineStr">
        <is>
          <t>CUST-0001</t>
        </is>
      </c>
      <c r="F4" s="104" t="inlineStr">
        <is>
          <t>Maria Gonzalez</t>
        </is>
      </c>
      <c r="G4" s="104" t="inlineStr">
        <is>
          <t>412 Pelican Dr, Daytona Beach FL</t>
        </is>
      </c>
      <c r="H4" s="104" t="inlineStr">
        <is>
          <t>Daytona Beach</t>
        </is>
      </c>
      <c r="I4" s="104" t="inlineStr">
        <is>
          <t>FL</t>
        </is>
      </c>
      <c r="J4" s="104" t="inlineStr">
        <is>
          <t>32118</t>
        </is>
      </c>
      <c r="K4" s="106" t="inlineStr">
        <is>
          <t>29.210300</t>
        </is>
      </c>
      <c r="L4" s="106" t="inlineStr">
        <is>
          <t>-81.022700</t>
        </is>
      </c>
      <c r="M4" s="107" t="inlineStr">
        <is>
          <t>08:00</t>
        </is>
      </c>
      <c r="N4" s="107" t="inlineStr">
        <is>
          <t>09:05</t>
        </is>
      </c>
      <c r="O4" s="105" t="inlineStr">
        <is>
          <t>0</t>
        </is>
      </c>
      <c r="P4" s="104" t="inlineStr">
        <is>
          <t>Window Washing</t>
        </is>
      </c>
      <c r="Q4" s="105" t="inlineStr">
        <is>
          <t>60</t>
        </is>
      </c>
      <c r="R4" s="110" t="inlineStr"/>
      <c r="S4" s="102" t="n"/>
      <c r="T4" s="98" t="n"/>
      <c r="U4" s="98" t="n"/>
      <c r="V4" s="98" t="n"/>
      <c r="W4" s="98" t="n"/>
      <c r="X4" s="79" t="n"/>
    </row>
    <row r="5" customFormat="1" s="9">
      <c r="A5" s="98" t="n"/>
      <c r="B5" s="98" t="n"/>
      <c r="C5" s="98" t="n"/>
      <c r="D5" s="98" t="n"/>
      <c r="E5" s="98" t="n"/>
      <c r="F5" s="98" t="n"/>
      <c r="G5" s="98" t="n"/>
      <c r="H5" s="98" t="n"/>
      <c r="I5" s="98" t="n"/>
      <c r="J5" s="98" t="n"/>
      <c r="K5" s="98" t="n"/>
      <c r="L5" s="98" t="n"/>
      <c r="M5" s="98" t="n"/>
      <c r="N5" s="98" t="n"/>
      <c r="O5" s="98" t="n"/>
      <c r="P5" s="98" t="n"/>
      <c r="Q5" s="98" t="n"/>
      <c r="R5" s="98" t="n"/>
      <c r="S5" s="98" t="n"/>
      <c r="T5" s="98" t="n"/>
      <c r="U5" s="98" t="n"/>
      <c r="V5" s="98" t="n"/>
      <c r="W5" s="98" t="n"/>
      <c r="X5" s="98" t="n"/>
    </row>
    <row r="6" customFormat="1" s="9"/>
    <row r="7" customFormat="1" s="9"/>
    <row r="8" customFormat="1" s="9"/>
    <row r="9" customFormat="1" s="9"/>
    <row r="10" customFormat="1" s="9"/>
    <row r="11" customFormat="1" s="9"/>
    <row r="12" customFormat="1" s="9"/>
    <row r="13" customFormat="1" s="9"/>
    <row r="14" customFormat="1" s="9"/>
    <row r="15" customFormat="1" s="9"/>
    <row r="16" customFormat="1" s="9"/>
    <row r="17" customFormat="1" s="9"/>
    <row r="18" customFormat="1" s="9"/>
    <row r="19" customFormat="1" s="9"/>
    <row r="20" customFormat="1" s="9"/>
    <row r="21" customFormat="1" s="9"/>
    <row r="22" customFormat="1" s="9"/>
    <row r="23" customFormat="1" s="9"/>
    <row r="24" customFormat="1" s="9"/>
    <row r="25" customFormat="1" s="9"/>
    <row r="26" customFormat="1" s="9"/>
    <row r="27" customFormat="1" s="9"/>
    <row r="28" customFormat="1" s="9"/>
    <row r="29" customFormat="1" s="9"/>
    <row r="30" customFormat="1" s="9"/>
    <row r="31" customFormat="1" s="9"/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customFormat="1" s="9"/>
    <row r="85" customFormat="1" s="9"/>
    <row r="86" customFormat="1" s="9"/>
    <row r="87" customFormat="1" s="9"/>
    <row r="88" customFormat="1" s="9"/>
    <row r="89" customFormat="1" s="9"/>
    <row r="90" customFormat="1" s="9"/>
    <row r="91" customFormat="1" s="9"/>
    <row r="92" customFormat="1" s="9"/>
    <row r="93" customFormat="1" s="9"/>
    <row r="94" customFormat="1" s="9"/>
    <row r="95" customFormat="1" s="9"/>
    <row r="96" customFormat="1" s="9"/>
    <row r="97" customFormat="1" s="9"/>
    <row r="98" customFormat="1" s="9"/>
    <row r="99" customFormat="1" s="9"/>
    <row r="100" customFormat="1" s="9"/>
    <row r="101" customFormat="1" s="9"/>
    <row r="102" customFormat="1" s="9"/>
    <row r="103" customFormat="1" s="9"/>
    <row r="104" customFormat="1" s="9"/>
    <row r="105" customFormat="1" s="9"/>
    <row r="106" customFormat="1" s="9"/>
    <row r="107" customFormat="1" s="9"/>
    <row r="108" customFormat="1" s="9"/>
    <row r="109" customFormat="1" s="9"/>
    <row r="110" customFormat="1" s="9"/>
    <row r="111" customFormat="1" s="9"/>
    <row r="112" s="11"/>
    <row r="113" s="11"/>
    <row r="114" s="11"/>
    <row r="115" s="11"/>
    <row r="116" s="11"/>
    <row r="117" s="11"/>
    <row r="118" s="11"/>
    <row r="119" s="11"/>
    <row r="120" s="11"/>
    <row r="121" s="11"/>
    <row r="122" s="11"/>
    <row r="123" s="11"/>
    <row r="124" s="11"/>
    <row r="125" s="11"/>
    <row r="126" s="11"/>
    <row r="127" s="11"/>
    <row r="128" s="11"/>
    <row r="129" s="11"/>
    <row r="130" s="11"/>
    <row r="131" s="11"/>
    <row r="132" s="11"/>
    <row r="133" s="11"/>
    <row r="134" s="11"/>
    <row r="135" s="11"/>
    <row r="136" s="11"/>
    <row r="137" s="11"/>
    <row r="138" s="11"/>
    <row r="139" s="11"/>
    <row r="140" s="11"/>
    <row r="141" s="11"/>
    <row r="142" s="11"/>
    <row r="143" s="11"/>
    <row r="144" s="11"/>
    <row r="145" s="11"/>
    <row r="146" s="11"/>
    <row r="147" s="11"/>
    <row r="148" s="11"/>
    <row r="149" s="11"/>
    <row r="150" s="11"/>
    <row r="151" s="11"/>
    <row r="152" s="11"/>
    <row r="153" s="11"/>
    <row r="154" s="11"/>
    <row r="155" s="11"/>
    <row r="156" s="11"/>
    <row r="157" s="11"/>
    <row r="158" s="11"/>
    <row r="159" s="11"/>
    <row r="160" s="11"/>
    <row r="161" s="11"/>
    <row r="162" s="11"/>
    <row r="163" s="11"/>
    <row r="164" s="11"/>
    <row r="165" s="11"/>
    <row r="166" s="11"/>
    <row r="167" s="11"/>
    <row r="168" s="11"/>
    <row r="169" s="11"/>
    <row r="170" s="11"/>
    <row r="171" s="11"/>
    <row r="172" s="11"/>
    <row r="173" s="11"/>
    <row r="174" s="11"/>
    <row r="175" s="11"/>
    <row r="176" s="11"/>
    <row r="177" s="11"/>
    <row r="178" s="11"/>
    <row r="179" s="11"/>
    <row r="180" s="11"/>
    <row r="181" s="11"/>
    <row r="182" s="11"/>
    <row r="183" s="11"/>
    <row r="184" s="11"/>
    <row r="185" s="11"/>
    <row r="186" s="11"/>
    <row r="187" s="11"/>
    <row r="188" s="11"/>
    <row r="189" s="11"/>
    <row r="190" s="11"/>
    <row r="191" s="11"/>
    <row r="192" s="11"/>
    <row r="193" s="11"/>
    <row r="194" s="11"/>
    <row r="195" s="11"/>
    <row r="196" s="11"/>
    <row r="197" s="11"/>
    <row r="198" s="11"/>
    <row r="199" s="11"/>
    <row r="200" s="11"/>
    <row r="201" s="11"/>
    <row r="202" s="11"/>
    <row r="203" s="11"/>
    <row r="204" s="11"/>
    <row r="205" s="11"/>
    <row r="206" s="11"/>
    <row r="207" s="11"/>
    <row r="208" s="11"/>
    <row r="209" s="11"/>
    <row r="210" s="11"/>
    <row r="211" s="11"/>
    <row r="212" s="11"/>
    <row r="213" s="11"/>
    <row r="214" s="11"/>
    <row r="215" s="11"/>
    <row r="216" s="11"/>
    <row r="217" s="11"/>
    <row r="218" s="11"/>
    <row r="219" s="11"/>
    <row r="220" s="11"/>
    <row r="221" s="11"/>
    <row r="222" s="11"/>
    <row r="223" s="11"/>
    <row r="224" s="11"/>
    <row r="225" s="11"/>
    <row r="226" s="11"/>
    <row r="227" s="11"/>
    <row r="228" s="11"/>
    <row r="229" s="11"/>
    <row r="230" s="11"/>
    <row r="231" s="11"/>
    <row r="232" s="11"/>
    <row r="233" s="11"/>
    <row r="234" s="11"/>
    <row r="235" s="11"/>
    <row r="236" s="11"/>
    <row r="237" s="11"/>
    <row r="238" s="11"/>
    <row r="239" s="11"/>
    <row r="240" s="11"/>
    <row r="241" s="11"/>
    <row r="242" s="11"/>
    <row r="243" s="11"/>
    <row r="244" s="11"/>
    <row r="245" s="11"/>
    <row r="246" s="11"/>
    <row r="247" s="11"/>
    <row r="248" s="11"/>
    <row r="249" s="11"/>
    <row r="250" s="11"/>
    <row r="251" s="11"/>
    <row r="252" s="11"/>
    <row r="253" s="11"/>
    <row r="254" s="11"/>
    <row r="255" s="11"/>
    <row r="256" s="11"/>
    <row r="257" s="11"/>
    <row r="258" s="11"/>
    <row r="259" s="11"/>
    <row r="260" s="11"/>
    <row r="261" s="11"/>
    <row r="262" s="11"/>
    <row r="263" s="11"/>
    <row r="264" s="11"/>
    <row r="265" s="11"/>
    <row r="266" s="11"/>
    <row r="267" s="11"/>
    <row r="268" s="11"/>
    <row r="269" s="11"/>
    <row r="270" s="11"/>
    <row r="271" s="11"/>
    <row r="272" s="11"/>
    <row r="273" s="11"/>
    <row r="274" s="11"/>
    <row r="275" s="11"/>
    <row r="276" s="11"/>
    <row r="277" s="11"/>
    <row r="278" s="11"/>
    <row r="279" s="11"/>
    <row r="280" s="11"/>
    <row r="281" s="11"/>
    <row r="282" s="11"/>
    <row r="283" s="11"/>
    <row r="284" s="11"/>
    <row r="285" s="11"/>
    <row r="286" s="11"/>
    <row r="287" s="11"/>
    <row r="288" s="11"/>
    <row r="289" s="11"/>
    <row r="290" s="11"/>
    <row r="291" s="11"/>
    <row r="292" s="11"/>
    <row r="293" s="11"/>
    <row r="294" s="11"/>
    <row r="295" s="11"/>
    <row r="296" s="11"/>
    <row r="297" s="11"/>
    <row r="298" s="11"/>
    <row r="299" s="11"/>
    <row r="300" s="11"/>
    <row r="301" s="11"/>
    <row r="302" s="11"/>
    <row r="303" s="11"/>
    <row r="304" s="11"/>
    <row r="305" s="11"/>
    <row r="306" s="11"/>
    <row r="307" s="11"/>
    <row r="308" s="11"/>
    <row r="309" s="11"/>
    <row r="310" s="11"/>
    <row r="311" s="11"/>
    <row r="312" s="11"/>
    <row r="313" s="11"/>
    <row r="314" s="11"/>
    <row r="315" s="11"/>
    <row r="316" s="11"/>
    <row r="317" s="11"/>
    <row r="318" s="11"/>
    <row r="319" s="11"/>
    <row r="320" s="11"/>
    <row r="321" s="11"/>
    <row r="322" s="11"/>
    <row r="323" s="11"/>
    <row r="324" s="11"/>
    <row r="325" s="11"/>
    <row r="326" s="11"/>
    <row r="327" s="11"/>
    <row r="328" s="11"/>
    <row r="329" s="11"/>
    <row r="330" s="11"/>
    <row r="331" s="11"/>
    <row r="332" s="11"/>
    <row r="333" s="11"/>
    <row r="334" s="11"/>
    <row r="335" s="11"/>
    <row r="336" s="11"/>
    <row r="337" s="11"/>
    <row r="338" s="11"/>
    <row r="339" s="11"/>
    <row r="340" s="11"/>
    <row r="341" s="11"/>
    <row r="342" s="11"/>
    <row r="343" s="11"/>
    <row r="344" s="11"/>
    <row r="345" s="11"/>
    <row r="346" s="11"/>
    <row r="347" s="11"/>
    <row r="348" s="11"/>
    <row r="349" s="11"/>
    <row r="350" s="11"/>
    <row r="351" s="11"/>
    <row r="352" s="11"/>
    <row r="353" s="11"/>
    <row r="354" s="11"/>
    <row r="355" s="11"/>
    <row r="356" s="11"/>
    <row r="357" s="11"/>
    <row r="358" s="11"/>
    <row r="359" s="11"/>
    <row r="360" s="11"/>
    <row r="361" s="11"/>
    <row r="362" s="11"/>
    <row r="363" s="11"/>
    <row r="364" s="11"/>
    <row r="365" s="11"/>
    <row r="366" s="11"/>
    <row r="367" s="11"/>
    <row r="368" s="11"/>
    <row r="369" s="11"/>
    <row r="370" s="11"/>
    <row r="371" s="11"/>
    <row r="372" s="11"/>
    <row r="373" s="11"/>
    <row r="374" s="11"/>
    <row r="375" s="11"/>
    <row r="376" s="11"/>
    <row r="377" s="11"/>
    <row r="378" s="11"/>
    <row r="379" s="11"/>
    <row r="380" s="11"/>
    <row r="381" s="11"/>
    <row r="382" s="11"/>
    <row r="383" s="11"/>
    <row r="384" s="11"/>
    <row r="385" s="11"/>
    <row r="386" s="11"/>
    <row r="387" s="11"/>
    <row r="388" s="11"/>
    <row r="389" s="11"/>
    <row r="390" s="11"/>
    <row r="391" s="11"/>
    <row r="392" s="11"/>
    <row r="393" s="11"/>
    <row r="394" s="11"/>
    <row r="395" s="11"/>
    <row r="396" s="11"/>
    <row r="397" s="11"/>
    <row r="398" s="11"/>
    <row r="399" s="11"/>
    <row r="400" s="11"/>
    <row r="401" s="11"/>
    <row r="402" s="11"/>
    <row r="403" s="11"/>
    <row r="404" s="11"/>
    <row r="405" s="11"/>
    <row r="406" s="11"/>
    <row r="407" s="11"/>
    <row r="408" s="11"/>
    <row r="409" s="11"/>
    <row r="410" s="11"/>
    <row r="411" s="11"/>
    <row r="412" s="11"/>
    <row r="413" s="11"/>
    <row r="414" s="11"/>
    <row r="415" s="11"/>
    <row r="416" s="11"/>
    <row r="417" s="11"/>
    <row r="418" s="11"/>
    <row r="419" s="11"/>
    <row r="420" s="11"/>
    <row r="421" s="11"/>
    <row r="422" s="11"/>
    <row r="423" s="11"/>
    <row r="424" s="11"/>
    <row r="425" s="11"/>
    <row r="426" s="11"/>
    <row r="427" s="11"/>
    <row r="428" s="11"/>
    <row r="429" s="11"/>
    <row r="430" s="11"/>
    <row r="431" s="11"/>
    <row r="432" s="11"/>
    <row r="433" s="11"/>
    <row r="434" s="11"/>
    <row r="435" s="11"/>
    <row r="436" s="11"/>
    <row r="437" s="11"/>
    <row r="438" s="11"/>
    <row r="439" s="11"/>
    <row r="440" s="11"/>
    <row r="441" s="11"/>
    <row r="442" s="11"/>
    <row r="443" s="11"/>
    <row r="444" s="11"/>
    <row r="445" s="11"/>
    <row r="446" s="11"/>
    <row r="447" s="11"/>
    <row r="448" s="11"/>
    <row r="449" s="11"/>
    <row r="450" s="11"/>
    <row r="451" s="11"/>
    <row r="452" s="11"/>
    <row r="453" s="11"/>
    <row r="454" s="11"/>
    <row r="455" s="11"/>
    <row r="456" s="11"/>
    <row r="457" s="11"/>
    <row r="458" s="11"/>
    <row r="459" s="11"/>
    <row r="460" s="11"/>
    <row r="461" s="11"/>
    <row r="462" s="11"/>
    <row r="463" s="11"/>
    <row r="464" s="11"/>
    <row r="465" s="11"/>
    <row r="466" s="11"/>
    <row r="467" s="11"/>
    <row r="468" s="11"/>
    <row r="469" s="11"/>
    <row r="470" s="11"/>
    <row r="471" s="11"/>
    <row r="472" s="11"/>
    <row r="473" s="11"/>
    <row r="474" s="11"/>
    <row r="475" s="11"/>
    <row r="476" s="11"/>
    <row r="477" s="11"/>
    <row r="478" s="11"/>
    <row r="479" s="11"/>
    <row r="480" s="11"/>
    <row r="481" s="11"/>
    <row r="482" s="11"/>
    <row r="483" s="11"/>
    <row r="484" s="11"/>
    <row r="485" s="11"/>
    <row r="486" s="11"/>
    <row r="487" s="11"/>
    <row r="488" s="11"/>
    <row r="489" s="11"/>
    <row r="490" s="11"/>
    <row r="491" s="11"/>
    <row r="492" s="11"/>
    <row r="493" s="11"/>
    <row r="494" s="11"/>
    <row r="495" s="11"/>
    <row r="496" s="11"/>
    <row r="497" s="11"/>
    <row r="498" s="11"/>
    <row r="499" s="11"/>
    <row r="500" s="11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R2"/>
    <mergeCell ref="A1:R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2" topLeftCell="A3" activePane="bottomLeft" state="frozen"/>
      <selection pane="bottomLeft" activeCell="E69" sqref="E69"/>
    </sheetView>
  </sheetViews>
  <sheetFormatPr baseColWidth="8" defaultRowHeight="14.5"/>
  <cols>
    <col width="12" customWidth="1" style="11" min="1" max="1"/>
    <col width="12" customWidth="1" style="11" min="2" max="2"/>
    <col width="10" customWidth="1" style="11" min="3" max="3"/>
    <col width="10" customWidth="1" style="11" min="4" max="4"/>
    <col width="10" customWidth="1" style="11" min="5" max="5"/>
    <col width="10" customWidth="1" style="11" min="6" max="6"/>
    <col width="10" customWidth="1" style="11" min="7" max="7"/>
    <col width="10" customWidth="1" style="11" min="8" max="8"/>
    <col width="10" customWidth="1" style="11" min="9" max="9"/>
    <col width="13" customWidth="1" style="11" min="10" max="10"/>
    <col width="10" customWidth="1" style="11" min="11" max="11"/>
    <col width="10" customWidth="1" style="11" min="12" max="12"/>
    <col width="10" customWidth="1" style="11" min="13" max="13"/>
    <col width="11" customWidth="1" style="11" min="14" max="14"/>
    <col width="10" customWidth="1" style="11" min="15" max="15"/>
    <col width="10" customWidth="1" style="11" min="16" max="16"/>
    <col width="10" customWidth="1" style="11" min="17" max="17"/>
    <col width="10" customWidth="1" style="11" min="18" max="18"/>
    <col width="10" customWidth="1" style="11" min="19" max="19"/>
    <col width="26" customWidth="1" style="11" min="20" max="20"/>
  </cols>
  <sheetData>
    <row r="1" ht="18" customHeight="1" s="11">
      <c r="A1" s="77" t="inlineStr">
        <is>
          <t>💰  QUOTES — Estimates Sent to Customers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  <c r="T1" s="77" t="n"/>
      <c r="U1" s="77" t="n"/>
    </row>
    <row r="2" ht="52" customHeight="1" s="11">
      <c r="A2" s="13" t="inlineStr">
        <is>
          <t>QuoteID
(QTE-####)</t>
        </is>
      </c>
      <c r="B2" s="13" t="inlineStr">
        <is>
          <t>CustomerID</t>
        </is>
      </c>
      <c r="C2" s="13" t="inlineStr">
        <is>
          <t>Customer Name
/ Company</t>
        </is>
      </c>
      <c r="D2" s="13" t="inlineStr">
        <is>
          <t>Customer
Type</t>
        </is>
      </c>
      <c r="E2" s="13" t="inlineStr">
        <is>
          <t>Address</t>
        </is>
      </c>
      <c r="F2" s="13" t="inlineStr">
        <is>
          <t>City</t>
        </is>
      </c>
      <c r="G2" s="13" t="inlineStr">
        <is>
          <t>Quote
Date</t>
        </is>
      </c>
      <c r="H2" s="13" t="inlineStr">
        <is>
          <t>Valid
Until</t>
        </is>
      </c>
      <c r="I2" s="13" t="inlineStr">
        <is>
          <t>Service
Type</t>
        </is>
      </c>
      <c r="J2" s="13" t="inlineStr">
        <is>
          <t>Service
Description</t>
        </is>
      </c>
      <c r="K2" s="13" t="inlineStr">
        <is>
          <t>Sq Ft /
Units</t>
        </is>
      </c>
      <c r="L2" s="13" t="inlineStr">
        <is>
          <t>Unit
Price ($)</t>
        </is>
      </c>
      <c r="M2" s="13" t="inlineStr">
        <is>
          <t>Labor
Cost ($)</t>
        </is>
      </c>
      <c r="N2" s="13" t="inlineStr">
        <is>
          <t>Materials
($)</t>
        </is>
      </c>
      <c r="O2" s="13" t="inlineStr">
        <is>
          <t>Subtotal
($)</t>
        </is>
      </c>
      <c r="P2" s="13" t="inlineStr">
        <is>
          <t>Discount
(%)</t>
        </is>
      </c>
      <c r="Q2" s="13" t="inlineStr">
        <is>
          <t>Discount
Amt ($)</t>
        </is>
      </c>
      <c r="R2" s="13" t="inlineStr">
        <is>
          <t>Tax (Tax%)
($)</t>
        </is>
      </c>
      <c r="S2" s="13" t="inlineStr">
        <is>
          <t>QUOTE
TOTAL ($)</t>
        </is>
      </c>
      <c r="T2" s="13" t="inlineStr">
        <is>
          <t>Status
(Open/Approved/Declined)</t>
        </is>
      </c>
    </row>
    <row r="3" customFormat="1" s="9">
      <c r="A3" s="100" t="inlineStr">
        <is>
          <t>QTE-0001</t>
        </is>
      </c>
      <c r="B3" s="100" t="inlineStr">
        <is>
          <t>CUST-0001</t>
        </is>
      </c>
      <c r="C3" s="100" t="inlineStr">
        <is>
          <t>Maria Gonzalez</t>
        </is>
      </c>
      <c r="D3" s="100" t="inlineStr">
        <is>
          <t>Res</t>
        </is>
      </c>
      <c r="E3" s="100" t="inlineStr">
        <is>
          <t>412 Pelican Dr</t>
        </is>
      </c>
      <c r="F3" s="100" t="inlineStr">
        <is>
          <t>Daytona Beach</t>
        </is>
      </c>
      <c r="G3" s="100" t="inlineStr">
        <is>
          <t>08/20/2026</t>
        </is>
      </c>
      <c r="H3" s="100" t="inlineStr">
        <is>
          <t>09/20/2026</t>
        </is>
      </c>
      <c r="I3" s="100" t="inlineStr">
        <is>
          <t>Window Washing</t>
        </is>
      </c>
      <c r="J3" s="100" t="inlineStr">
        <is>
          <t>Exterior window wash — 12 panes, ground floor only</t>
        </is>
      </c>
      <c r="K3" s="100" t="inlineStr">
        <is>
          <t>12</t>
        </is>
      </c>
      <c r="L3" s="100" t="inlineStr">
        <is>
          <t>10.42</t>
        </is>
      </c>
      <c r="M3" s="100" t="inlineStr">
        <is>
          <t>0.00</t>
        </is>
      </c>
      <c r="N3" s="100" t="inlineStr">
        <is>
          <t>0.00</t>
        </is>
      </c>
      <c r="O3" s="100" t="inlineStr">
        <is>
          <t>125.00</t>
        </is>
      </c>
      <c r="P3" s="100" t="inlineStr">
        <is>
          <t>0.05</t>
        </is>
      </c>
      <c r="Q3" s="100" t="inlineStr">
        <is>
          <t>6.25</t>
        </is>
      </c>
      <c r="R3" s="100" t="inlineStr">
        <is>
          <t>8.30</t>
        </is>
      </c>
      <c r="S3" s="100" t="inlineStr">
        <is>
          <t>127.05</t>
        </is>
      </c>
      <c r="T3" s="100" t="inlineStr">
        <is>
          <t>Approved</t>
        </is>
      </c>
      <c r="U3" s="102" t="n"/>
    </row>
    <row r="4" customFormat="1" s="9">
      <c r="A4" s="71" t="n"/>
      <c r="B4" s="67" t="n"/>
      <c r="C4" s="67" t="n"/>
      <c r="D4" s="67" t="n"/>
      <c r="E4" s="67" t="n"/>
      <c r="F4" s="67" t="n"/>
      <c r="G4" s="73" t="n"/>
      <c r="H4" s="67" t="n"/>
      <c r="I4" s="67" t="n"/>
      <c r="J4" s="67" t="n"/>
      <c r="K4" s="67" t="n"/>
      <c r="L4" s="71" t="n"/>
      <c r="M4" s="71" t="n"/>
      <c r="N4" s="71" t="n"/>
      <c r="O4" s="71" t="n"/>
      <c r="P4" s="72" t="n"/>
      <c r="Q4" s="71" t="n"/>
      <c r="R4" s="71" t="n"/>
      <c r="S4" s="71" t="n"/>
      <c r="T4" s="67" t="n"/>
      <c r="U4" s="67" t="n"/>
    </row>
    <row r="5" customFormat="1" s="9"/>
    <row r="6" customFormat="1" s="9"/>
    <row r="7" customFormat="1" s="9"/>
    <row r="8" customFormat="1" s="9"/>
    <row r="9" customFormat="1" s="9"/>
    <row r="10" customFormat="1" s="9"/>
    <row r="11" customFormat="1" s="9"/>
    <row r="12" customFormat="1" s="9"/>
    <row r="13" customFormat="1" s="9"/>
    <row r="14" customFormat="1" s="9"/>
    <row r="15" customFormat="1" s="9"/>
    <row r="16" customFormat="1" s="9"/>
    <row r="17" customFormat="1" s="9"/>
    <row r="18" customFormat="1" s="9"/>
    <row r="19" customFormat="1" s="9"/>
    <row r="20" customFormat="1" s="9"/>
    <row r="21" customFormat="1" s="9"/>
    <row r="22" customFormat="1" s="9"/>
    <row r="23" customFormat="1" s="9"/>
    <row r="24" customFormat="1" s="9"/>
    <row r="25" customFormat="1" s="9"/>
    <row r="26" customFormat="1" s="9"/>
    <row r="27" customFormat="1" s="9"/>
    <row r="28" customFormat="1" s="9"/>
    <row r="29" customFormat="1" s="9"/>
    <row r="30" customFormat="1" s="9"/>
    <row r="31" customFormat="1" s="9"/>
    <row r="32" customFormat="1" s="9"/>
    <row r="33" customFormat="1" s="9"/>
    <row r="34" customFormat="1" s="9"/>
    <row r="35" customFormat="1" s="9"/>
    <row r="36" customFormat="1" s="9"/>
    <row r="37" customFormat="1" s="9"/>
    <row r="38" customFormat="1" s="9"/>
    <row r="39" customFormat="1" s="9"/>
    <row r="40" customFormat="1" s="9"/>
    <row r="41" customFormat="1" s="9"/>
    <row r="42" customFormat="1" s="9"/>
    <row r="43" customFormat="1" s="9"/>
    <row r="44" customFormat="1" s="9"/>
    <row r="45" customFormat="1" s="9"/>
    <row r="46" customFormat="1" s="9"/>
    <row r="47" customFormat="1" s="9"/>
    <row r="48" customFormat="1" s="9"/>
    <row r="49" customFormat="1" s="9"/>
    <row r="50" customFormat="1" s="9"/>
    <row r="51" customFormat="1" s="9"/>
    <row r="52" customFormat="1" s="9"/>
    <row r="53" customFormat="1" s="9"/>
    <row r="54" customFormat="1" s="9"/>
    <row r="55" customFormat="1" s="9"/>
    <row r="56" customFormat="1" s="9"/>
    <row r="57" customFormat="1" s="9"/>
    <row r="58" customFormat="1" s="9"/>
    <row r="59" customFormat="1" s="9"/>
    <row r="60" customFormat="1" s="9"/>
    <row r="61" customFormat="1" s="9"/>
    <row r="62" customFormat="1" s="9"/>
    <row r="63" customFormat="1" s="9"/>
    <row r="64" customFormat="1" s="9"/>
    <row r="65" customFormat="1" s="9"/>
    <row r="66" customFormat="1" s="9"/>
    <row r="67" customFormat="1" s="9"/>
    <row r="68" customFormat="1" s="9"/>
    <row r="69" customFormat="1" s="9"/>
    <row r="70" customFormat="1" s="9"/>
    <row r="71" customFormat="1" s="9"/>
    <row r="72" customFormat="1" s="9"/>
    <row r="73" customFormat="1" s="9"/>
    <row r="74" customFormat="1" s="9"/>
    <row r="75" customFormat="1" s="9"/>
    <row r="76" customFormat="1" s="9"/>
    <row r="77" customFormat="1" s="9"/>
    <row r="78" customFormat="1" s="9"/>
    <row r="79" customFormat="1" s="9"/>
    <row r="80" customFormat="1" s="9"/>
    <row r="81" customFormat="1" s="9"/>
    <row r="82" customFormat="1" s="9"/>
    <row r="83" customFormat="1" s="9"/>
    <row r="84" s="11"/>
    <row r="85" s="11"/>
    <row r="86" s="11"/>
    <row r="87" s="11"/>
    <row r="88" s="11"/>
    <row r="89" s="11"/>
    <row r="90" s="11"/>
    <row r="91" s="11"/>
    <row r="92" s="11"/>
    <row r="93" s="11"/>
    <row r="94" s="11"/>
    <row r="95" s="11"/>
    <row r="96" s="11"/>
    <row r="97" s="11"/>
    <row r="98" s="11"/>
    <row r="99" s="11"/>
    <row r="100" s="11"/>
    <row r="101" s="11"/>
    <row r="102" s="11"/>
    <row r="103" s="11"/>
    <row r="104" s="11"/>
    <row r="105" s="11"/>
    <row r="106" s="11"/>
    <row r="107" s="11"/>
    <row r="108" s="11"/>
    <row r="109" s="11"/>
    <row r="110" s="11"/>
    <row r="111" s="11"/>
    <row r="112" s="11"/>
    <row r="113" s="11"/>
    <row r="114" s="11"/>
    <row r="115" s="11"/>
    <row r="116" s="11"/>
    <row r="117" s="11"/>
    <row r="118" s="11"/>
    <row r="119" s="11"/>
    <row r="120" s="11"/>
    <row r="121" s="11"/>
    <row r="122" s="11"/>
    <row r="123" s="11"/>
    <row r="124" s="11"/>
    <row r="125" s="11"/>
    <row r="126" s="11"/>
    <row r="127" s="11"/>
    <row r="128" s="11"/>
    <row r="129" s="11"/>
    <row r="130" s="11"/>
    <row r="131" s="11"/>
    <row r="132" s="11"/>
    <row r="133" s="11"/>
    <row r="134" s="11"/>
    <row r="135" s="11"/>
    <row r="136" s="11"/>
    <row r="137" s="11"/>
    <row r="138" s="11"/>
    <row r="139" s="11"/>
    <row r="140" s="11"/>
    <row r="141" s="11"/>
    <row r="142" s="11"/>
    <row r="143" s="11"/>
    <row r="144" s="11"/>
    <row r="145" s="11"/>
    <row r="146" s="11"/>
    <row r="147" s="11"/>
    <row r="148" s="11"/>
    <row r="149" s="11"/>
    <row r="150" s="11"/>
    <row r="151" s="11"/>
    <row r="152" s="11"/>
    <row r="153" s="11"/>
    <row r="154" s="11"/>
    <row r="155" s="11"/>
    <row r="156" s="11"/>
    <row r="157" s="11"/>
    <row r="158" s="11"/>
    <row r="159" s="11"/>
    <row r="160" s="11"/>
    <row r="161" s="11"/>
    <row r="162" s="11"/>
    <row r="163" s="11"/>
    <row r="164" s="11"/>
    <row r="165" s="11"/>
    <row r="166" s="11"/>
    <row r="167" s="11"/>
    <row r="168" s="11"/>
    <row r="169" s="11"/>
    <row r="170" s="11"/>
    <row r="171" s="11"/>
    <row r="172" s="11"/>
    <row r="173" s="11"/>
    <row r="174" s="11"/>
    <row r="175" s="11"/>
    <row r="176" s="11"/>
    <row r="177" s="11"/>
    <row r="178" s="11"/>
    <row r="179" s="11"/>
    <row r="180" s="11"/>
    <row r="181" s="11"/>
    <row r="182" s="11"/>
    <row r="183" s="11"/>
    <row r="184" s="11"/>
    <row r="185" s="11"/>
    <row r="186" s="11"/>
    <row r="187" s="11"/>
    <row r="188" s="11"/>
    <row r="189" s="11"/>
    <row r="190" s="11"/>
    <row r="191" s="11"/>
    <row r="192" s="11"/>
    <row r="193" s="11"/>
    <row r="194" s="11"/>
    <row r="195" s="11"/>
    <row r="196" s="11"/>
    <row r="197" s="11"/>
    <row r="198" s="11"/>
    <row r="199" s="11"/>
    <row r="200" s="11"/>
    <row r="201" s="11"/>
    <row r="202" s="11"/>
    <row r="203" s="11"/>
    <row r="204" s="11"/>
    <row r="205" s="11"/>
    <row r="206" s="11"/>
    <row r="207" s="11"/>
    <row r="208" s="11"/>
    <row r="209" s="11"/>
    <row r="210" s="11"/>
    <row r="211" s="11"/>
    <row r="212" s="11"/>
    <row r="213" s="11"/>
    <row r="214" s="11"/>
    <row r="215" s="11"/>
    <row r="216" s="11"/>
    <row r="217" s="11"/>
    <row r="218" s="11"/>
    <row r="219" s="11"/>
    <row r="220" s="11"/>
    <row r="221" s="11"/>
    <row r="222" s="11"/>
    <row r="223" s="11"/>
    <row r="224" s="11"/>
    <row r="225" s="11"/>
    <row r="226" s="11"/>
    <row r="227" s="11"/>
    <row r="228" s="11"/>
    <row r="229" s="11"/>
    <row r="230" s="11"/>
    <row r="231" s="11"/>
    <row r="232" s="11"/>
    <row r="233" s="11"/>
    <row r="234" s="11"/>
    <row r="235" s="11"/>
    <row r="236" s="11"/>
    <row r="237" s="11"/>
    <row r="238" s="11"/>
    <row r="239" s="11"/>
    <row r="240" s="11"/>
    <row r="241" s="11"/>
    <row r="242" s="11"/>
    <row r="243" s="11"/>
    <row r="244" s="11"/>
    <row r="245" s="11"/>
    <row r="246" s="11"/>
    <row r="247" s="11"/>
    <row r="248" s="11"/>
    <row r="249" s="11"/>
    <row r="250" s="11"/>
    <row r="251" s="11"/>
    <row r="252" s="11"/>
    <row r="253" s="11"/>
    <row r="254" s="11"/>
    <row r="255" s="11"/>
    <row r="256" s="11"/>
    <row r="257" s="11"/>
    <row r="258" s="11"/>
    <row r="259" s="11"/>
    <row r="260" s="11"/>
    <row r="261" s="11"/>
    <row r="262" s="11"/>
    <row r="263" s="11"/>
    <row r="264" s="11"/>
    <row r="265" s="11"/>
    <row r="266" s="11"/>
    <row r="267" s="11"/>
    <row r="268" s="11"/>
    <row r="269" s="11"/>
    <row r="270" s="11"/>
    <row r="271" s="11"/>
    <row r="272" s="11"/>
    <row r="273" s="11"/>
    <row r="274" s="11"/>
    <row r="275" s="11"/>
    <row r="276" s="11"/>
    <row r="277" s="11"/>
    <row r="278" s="11"/>
    <row r="279" s="11"/>
    <row r="280" s="11"/>
    <row r="281" s="11"/>
    <row r="282" s="11"/>
    <row r="283" s="11"/>
    <row r="284" s="11"/>
    <row r="285" s="11"/>
    <row r="286" s="11"/>
    <row r="287" s="11"/>
    <row r="288" s="11"/>
    <row r="289" s="11"/>
    <row r="290" s="11"/>
    <row r="291" s="11"/>
    <row r="292" s="11"/>
    <row r="293" s="11"/>
    <row r="294" s="11"/>
    <row r="295" s="11"/>
    <row r="296" s="11"/>
    <row r="297" s="11"/>
    <row r="298" s="11"/>
    <row r="299" s="11"/>
    <row r="300" s="11"/>
    <row r="301" s="11"/>
    <row r="302" s="11"/>
    <row r="303" s="11"/>
    <row r="304" s="11"/>
    <row r="305" s="11"/>
    <row r="306" s="11"/>
    <row r="307" s="11"/>
    <row r="308" s="11"/>
    <row r="309" s="11"/>
    <row r="310" s="11"/>
    <row r="311" s="11"/>
    <row r="312" s="11"/>
    <row r="313" s="11"/>
    <row r="314" s="11"/>
    <row r="315" s="11"/>
    <row r="316" s="11"/>
    <row r="317" s="11"/>
    <row r="318" s="11"/>
    <row r="319" s="11"/>
    <row r="320" s="11"/>
    <row r="321" s="11"/>
    <row r="322" s="11"/>
    <row r="323" s="11"/>
    <row r="324" s="11"/>
    <row r="325" s="11"/>
    <row r="326" s="11"/>
    <row r="327" s="11"/>
    <row r="328" s="11"/>
    <row r="329" s="11"/>
    <row r="330" s="11"/>
    <row r="331" s="11"/>
    <row r="332" s="11"/>
    <row r="333" s="11"/>
    <row r="334" s="11"/>
    <row r="335" s="11"/>
    <row r="336" s="11"/>
    <row r="337" s="11"/>
    <row r="338" s="11"/>
    <row r="339" s="11"/>
    <row r="340" s="11"/>
    <row r="341" s="11"/>
    <row r="342" s="11"/>
    <row r="343" s="11"/>
    <row r="344" s="11"/>
    <row r="345" s="11"/>
    <row r="346" s="11"/>
    <row r="347" s="11"/>
    <row r="348" s="11"/>
    <row r="349" s="11"/>
    <row r="350" s="11"/>
    <row r="351" s="11"/>
    <row r="352" s="11"/>
    <row r="353" s="11"/>
    <row r="354" s="11"/>
    <row r="355" s="11"/>
    <row r="356" s="11"/>
    <row r="357" s="11"/>
    <row r="358" s="11"/>
    <row r="359" s="11"/>
    <row r="360" s="11"/>
    <row r="361" s="11"/>
    <row r="362" s="11"/>
    <row r="363" s="11"/>
    <row r="364" s="11"/>
    <row r="365" s="11"/>
    <row r="366" s="11"/>
    <row r="367" s="11"/>
    <row r="368" s="11"/>
    <row r="369" s="11"/>
    <row r="370" s="11"/>
    <row r="371" s="11"/>
    <row r="372" s="11"/>
    <row r="373" s="11"/>
    <row r="374" s="11"/>
    <row r="375" s="11"/>
    <row r="376" s="11"/>
    <row r="377" s="11"/>
    <row r="378" s="11"/>
    <row r="379" s="11"/>
    <row r="380" s="11"/>
    <row r="381" s="11"/>
    <row r="382" s="11"/>
    <row r="383" s="11"/>
    <row r="384" s="11"/>
    <row r="385" s="11"/>
    <row r="386" s="11"/>
    <row r="387" s="11"/>
    <row r="388" s="11"/>
    <row r="389" s="11"/>
    <row r="390" s="11"/>
    <row r="391" s="11"/>
    <row r="392" s="11"/>
    <row r="393" s="11"/>
    <row r="394" s="11"/>
    <row r="395" s="11"/>
    <row r="396" s="11"/>
    <row r="397" s="11"/>
    <row r="398" s="11"/>
    <row r="399" s="11"/>
    <row r="400" s="11"/>
    <row r="401" s="11"/>
    <row r="402" s="11"/>
    <row r="403" s="11"/>
    <row r="404" s="11"/>
    <row r="405" s="11"/>
    <row r="406" s="11"/>
    <row r="407" s="11"/>
    <row r="408" s="11"/>
    <row r="409" s="11"/>
    <row r="410" s="11"/>
    <row r="411" s="11"/>
    <row r="412" s="11"/>
    <row r="413" s="11"/>
    <row r="414" s="11"/>
    <row r="415" s="11"/>
    <row r="416" s="11"/>
    <row r="417" s="11"/>
    <row r="418" s="11"/>
    <row r="419" s="11"/>
    <row r="420" s="11"/>
    <row r="421" s="11"/>
    <row r="422" s="11"/>
    <row r="423" s="11"/>
    <row r="424" s="11"/>
    <row r="425" s="11"/>
    <row r="426" s="11"/>
    <row r="427" s="11"/>
    <row r="428" s="11"/>
    <row r="429" s="11"/>
    <row r="430" s="11"/>
    <row r="431" s="11"/>
    <row r="432" s="11"/>
    <row r="433" s="11"/>
    <row r="434" s="11"/>
    <row r="435" s="11"/>
    <row r="436" s="11"/>
    <row r="437" s="11"/>
    <row r="438" s="11"/>
    <row r="439" s="11"/>
    <row r="440" s="11"/>
    <row r="441" s="11"/>
    <row r="442" s="11"/>
    <row r="443" s="11"/>
    <row r="444" s="11"/>
    <row r="445" s="11"/>
    <row r="446" s="11"/>
    <row r="447" s="11"/>
    <row r="448" s="11"/>
    <row r="449" s="11"/>
    <row r="450" s="11"/>
    <row r="451" s="11"/>
    <row r="452" s="11"/>
    <row r="453" s="11"/>
    <row r="454" s="11"/>
    <row r="455" s="11"/>
    <row r="456" s="11"/>
    <row r="457" s="11"/>
    <row r="458" s="11"/>
    <row r="459" s="11"/>
    <row r="460" s="11"/>
    <row r="461" s="11"/>
    <row r="462" s="11"/>
    <row r="463" s="11"/>
    <row r="464" s="11"/>
    <row r="465" s="11"/>
    <row r="466" s="11"/>
    <row r="467" s="11"/>
    <row r="468" s="11"/>
    <row r="469" s="11"/>
    <row r="470" s="11"/>
    <row r="471" s="11"/>
    <row r="472" s="11"/>
    <row r="473" s="11"/>
    <row r="474" s="11"/>
    <row r="475" s="11"/>
    <row r="476" s="11"/>
    <row r="477" s="11"/>
    <row r="478" s="11"/>
    <row r="479" s="11"/>
    <row r="480" s="11"/>
    <row r="481" s="11"/>
    <row r="482" s="11"/>
    <row r="483" s="11"/>
    <row r="484" s="11"/>
    <row r="485" s="11"/>
    <row r="486" s="11"/>
    <row r="487" s="11"/>
    <row r="488" s="11"/>
    <row r="489" s="11"/>
    <row r="490" s="11"/>
    <row r="491" s="11"/>
    <row r="492" s="11"/>
    <row r="493" s="11"/>
    <row r="494" s="11"/>
    <row r="495" s="11"/>
    <row r="496" s="11"/>
    <row r="497" s="11"/>
    <row r="498" s="11"/>
    <row r="499" s="11"/>
    <row r="500" s="11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500"/>
  <sheetViews>
    <sheetView workbookViewId="0">
      <pane ySplit="2" topLeftCell="A3" activePane="bottomLeft" state="frozen"/>
      <selection pane="bottomLeft" activeCell="D73" sqref="D73"/>
    </sheetView>
  </sheetViews>
  <sheetFormatPr baseColWidth="8" defaultRowHeight="14.5"/>
  <cols>
    <col width="12" customWidth="1" style="11" min="1" max="1"/>
    <col width="12" customWidth="1" style="11" min="2" max="2"/>
    <col width="12" customWidth="1" style="11" min="3" max="3"/>
    <col width="10" customWidth="1" style="11" min="4" max="4"/>
    <col width="10" customWidth="1" style="11" min="5" max="5"/>
    <col width="10" customWidth="1" style="11" min="6" max="6"/>
    <col width="10" customWidth="1" style="11" min="7" max="7"/>
    <col width="10" customWidth="1" style="11" min="8" max="8"/>
    <col width="10" customWidth="1" style="11" min="9" max="9"/>
    <col width="13" customWidth="1" style="11" min="10" max="10"/>
    <col width="10" customWidth="1" style="11" min="11" max="11"/>
    <col width="10" customWidth="1" style="11" min="12" max="12"/>
    <col width="10" customWidth="1" style="11" min="13" max="13"/>
    <col width="10" customWidth="1" style="11" min="14" max="14"/>
    <col width="10" customWidth="1" style="11" min="15" max="15"/>
    <col width="10" customWidth="1" style="11" min="16" max="16"/>
    <col width="10" customWidth="1" style="11" min="17" max="17"/>
    <col width="10" customWidth="1" style="11" min="18" max="18"/>
    <col width="10" customWidth="1" style="11" min="19" max="19"/>
    <col width="10" customWidth="1" style="11" min="20" max="20"/>
    <col width="10" customWidth="1" style="11" min="21" max="21"/>
  </cols>
  <sheetData>
    <row r="1" ht="18" customHeight="1" s="11">
      <c r="A1" s="77" t="inlineStr">
        <is>
          <t>🧾  INVOICES — Billing &amp; Payment Tracking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  <c r="M1" s="77" t="n"/>
      <c r="N1" s="77" t="n"/>
      <c r="O1" s="77" t="n"/>
      <c r="P1" s="77" t="n"/>
      <c r="Q1" s="77" t="n"/>
      <c r="R1" s="77" t="n"/>
      <c r="S1" s="77" t="n"/>
      <c r="T1" s="77" t="n"/>
      <c r="U1" s="77" t="n"/>
      <c r="V1" s="77" t="n"/>
    </row>
    <row r="2" ht="65" customHeight="1" s="11">
      <c r="A2" s="13" t="inlineStr">
        <is>
          <t>InvoiceID
(INV-####)</t>
        </is>
      </c>
      <c r="B2" s="13" t="inlineStr">
        <is>
          <t>JobID
(JOB-####)</t>
        </is>
      </c>
      <c r="C2" s="13" t="inlineStr">
        <is>
          <t>CustomerID</t>
        </is>
      </c>
      <c r="D2" s="13" t="inlineStr">
        <is>
          <t>Customer Name
/ Company</t>
        </is>
      </c>
      <c r="E2" s="13" t="inlineStr">
        <is>
          <t>Customer
Type</t>
        </is>
      </c>
      <c r="F2" s="13" t="inlineStr">
        <is>
          <t>Invoice
Date</t>
        </is>
      </c>
      <c r="G2" s="13" t="inlineStr">
        <is>
          <t>Due
Date
(Net 30)</t>
        </is>
      </c>
      <c r="H2" s="13" t="inlineStr">
        <is>
          <t>Service
Date</t>
        </is>
      </c>
      <c r="I2" s="13" t="inlineStr">
        <is>
          <t>Service
Type</t>
        </is>
      </c>
      <c r="J2" s="13" t="inlineStr">
        <is>
          <t>Description</t>
        </is>
      </c>
      <c r="K2" s="13" t="inlineStr">
        <is>
          <t>Subtotal
($)</t>
        </is>
      </c>
      <c r="L2" s="13" t="inlineStr">
        <is>
          <t>Discount
($)</t>
        </is>
      </c>
      <c r="M2" s="13" t="inlineStr">
        <is>
          <t>Taxable
Amt ($)
=K-L</t>
        </is>
      </c>
      <c r="N2" s="13" t="inlineStr">
        <is>
          <t>Tax 7%
($)
=M*0.07</t>
        </is>
      </c>
      <c r="O2" s="13" t="inlineStr">
        <is>
          <t>TOTAL
DUE ($)
=M+N</t>
        </is>
      </c>
      <c r="P2" s="13" t="inlineStr">
        <is>
          <t>Amount
Paid ($)</t>
        </is>
      </c>
      <c r="Q2" s="13" t="inlineStr">
        <is>
          <t>Balance
Due ($)
=O-P</t>
        </is>
      </c>
      <c r="R2" s="13" t="inlineStr">
        <is>
          <t>Payment
Status</t>
        </is>
      </c>
      <c r="S2" s="13" t="inlineStr">
        <is>
          <t>Payment
Date</t>
        </is>
      </c>
      <c r="T2" s="13" t="inlineStr">
        <is>
          <t>Payment
Method</t>
        </is>
      </c>
      <c r="U2" s="13" t="inlineStr">
        <is>
          <t>Days
Overdue
(AI-AR)</t>
        </is>
      </c>
    </row>
    <row r="3" customFormat="1" s="9">
      <c r="A3" s="100" t="inlineStr">
        <is>
          <t>INV-0001</t>
        </is>
      </c>
      <c r="B3" s="100" t="inlineStr">
        <is>
          <t>JOB-0001</t>
        </is>
      </c>
      <c r="C3" s="100" t="inlineStr">
        <is>
          <t>CUST-0001</t>
        </is>
      </c>
      <c r="D3" s="100" t="inlineStr">
        <is>
          <t>Maria Gonzalez</t>
        </is>
      </c>
      <c r="E3" s="100" t="inlineStr">
        <is>
          <t>Res</t>
        </is>
      </c>
      <c r="F3" s="100" t="inlineStr">
        <is>
          <t>08/25/2026</t>
        </is>
      </c>
      <c r="G3" s="100" t="inlineStr">
        <is>
          <t>09/24/2026</t>
        </is>
      </c>
      <c r="H3" s="100" t="inlineStr">
        <is>
          <t>08/25/2026</t>
        </is>
      </c>
      <c r="I3" s="100" t="inlineStr">
        <is>
          <t>Window Washing</t>
        </is>
      </c>
      <c r="J3" s="100" t="inlineStr">
        <is>
          <t>Exterior window wash — 12 panes, ground floor. Includes screen wipe-down.</t>
        </is>
      </c>
      <c r="K3" s="100" t="inlineStr">
        <is>
          <t>118.75</t>
        </is>
      </c>
      <c r="L3" s="100" t="inlineStr">
        <is>
          <t>0.00</t>
        </is>
      </c>
      <c r="M3" s="101">
        <f>K3-L3</f>
        <v/>
      </c>
      <c r="N3" s="101">
        <f>M3*Settings!$B$12</f>
        <v/>
      </c>
      <c r="O3" s="101">
        <f>M3+N3</f>
        <v/>
      </c>
      <c r="P3" s="100" t="inlineStr">
        <is>
          <t>127.05</t>
        </is>
      </c>
      <c r="Q3" s="101">
        <f>O3-P3</f>
        <v/>
      </c>
      <c r="R3" s="100" t="inlineStr">
        <is>
          <t>Paid</t>
        </is>
      </c>
      <c r="S3" s="100" t="inlineStr">
        <is>
          <t>08/28/2026</t>
        </is>
      </c>
      <c r="T3" s="100" t="inlineStr">
        <is>
          <t>Check</t>
        </is>
      </c>
      <c r="U3" s="108">
        <f>IF(R3="Paid",0,IF(TODAY()&gt;G3,TODAY()-G3,0))</f>
        <v/>
      </c>
      <c r="V3" s="102" t="n"/>
    </row>
    <row r="4" customFormat="1" s="9">
      <c r="A4" s="67" t="n"/>
      <c r="B4" s="67" t="n"/>
      <c r="C4" s="67" t="n"/>
      <c r="D4" s="67" t="n"/>
      <c r="E4" s="67" t="n"/>
      <c r="F4" s="73" t="n"/>
      <c r="G4" s="73" t="n"/>
      <c r="H4" s="73" t="n"/>
      <c r="I4" s="67" t="n"/>
      <c r="J4" s="67" t="n"/>
      <c r="K4" s="71" t="n"/>
      <c r="L4" s="71" t="n"/>
      <c r="M4" s="71">
        <f>K4-L4</f>
        <v/>
      </c>
      <c r="N4" s="71">
        <f>M4*Settings!$B$12</f>
        <v/>
      </c>
      <c r="O4" s="71">
        <f>M4+N4</f>
        <v/>
      </c>
      <c r="P4" s="71" t="n"/>
      <c r="Q4" s="71">
        <f>O4-P4</f>
        <v/>
      </c>
      <c r="R4" s="67" t="n"/>
      <c r="S4" s="73" t="n"/>
      <c r="T4" s="67" t="n"/>
      <c r="U4" s="70">
        <f>IF(R4="Paid",0,IF(TODAY()&gt;G4,TODAY()-G4,0))</f>
        <v/>
      </c>
      <c r="V4" s="67" t="n"/>
    </row>
    <row r="5" customFormat="1" s="9">
      <c r="M5" s="71">
        <f>K5-L5</f>
        <v/>
      </c>
      <c r="N5" s="71">
        <f>M5*Settings!$B$12</f>
        <v/>
      </c>
      <c r="O5" s="71">
        <f>M5+N5</f>
        <v/>
      </c>
      <c r="Q5" s="71">
        <f>O5-P5</f>
        <v/>
      </c>
      <c r="U5" s="70">
        <f>IF(R5="Paid",0,IF(TODAY()&gt;G5,TODAY()-G5,0))</f>
        <v/>
      </c>
    </row>
    <row r="6" customFormat="1" s="9">
      <c r="M6" s="71">
        <f>K6-L6</f>
        <v/>
      </c>
      <c r="N6" s="71">
        <f>M6*Settings!$B$12</f>
        <v/>
      </c>
      <c r="O6" s="71">
        <f>M6+N6</f>
        <v/>
      </c>
      <c r="Q6" s="71">
        <f>O6-P6</f>
        <v/>
      </c>
      <c r="U6" s="70">
        <f>IF(R6="Paid",0,IF(TODAY()&gt;G6,TODAY()-G6,0))</f>
        <v/>
      </c>
    </row>
    <row r="7" customFormat="1" s="9">
      <c r="M7" s="71">
        <f>K7-L7</f>
        <v/>
      </c>
      <c r="N7" s="71">
        <f>M7*Settings!$B$12</f>
        <v/>
      </c>
      <c r="O7" s="71">
        <f>M7+N7</f>
        <v/>
      </c>
      <c r="Q7" s="71">
        <f>O7-P7</f>
        <v/>
      </c>
      <c r="U7" s="70">
        <f>IF(R7="Paid",0,IF(TODAY()&gt;G7,TODAY()-G7,0))</f>
        <v/>
      </c>
    </row>
    <row r="8" customFormat="1" s="9">
      <c r="M8" s="71">
        <f>K8-L8</f>
        <v/>
      </c>
      <c r="N8" s="71">
        <f>M8*Settings!$B$12</f>
        <v/>
      </c>
      <c r="O8" s="71">
        <f>M8+N8</f>
        <v/>
      </c>
      <c r="Q8" s="71">
        <f>O8-P8</f>
        <v/>
      </c>
      <c r="U8" s="70">
        <f>IF(R8="Paid",0,IF(TODAY()&gt;G8,TODAY()-G8,0))</f>
        <v/>
      </c>
    </row>
    <row r="9" customFormat="1" s="9">
      <c r="M9" s="71">
        <f>K9-L9</f>
        <v/>
      </c>
      <c r="N9" s="71">
        <f>M9*Settings!$B$12</f>
        <v/>
      </c>
      <c r="O9" s="71">
        <f>M9+N9</f>
        <v/>
      </c>
      <c r="Q9" s="71">
        <f>O9-P9</f>
        <v/>
      </c>
      <c r="U9" s="70">
        <f>IF(R9="Paid",0,IF(TODAY()&gt;G9,TODAY()-G9,0))</f>
        <v/>
      </c>
    </row>
    <row r="10" customFormat="1" s="9">
      <c r="M10" s="71">
        <f>K10-L10</f>
        <v/>
      </c>
      <c r="N10" s="71">
        <f>M10*Settings!$B$12</f>
        <v/>
      </c>
      <c r="O10" s="71">
        <f>M10+N10</f>
        <v/>
      </c>
      <c r="Q10" s="71">
        <f>O10-P10</f>
        <v/>
      </c>
      <c r="U10" s="70">
        <f>IF(R10="Paid",0,IF(TODAY()&gt;G10,TODAY()-G10,0))</f>
        <v/>
      </c>
    </row>
    <row r="11" customFormat="1" s="9">
      <c r="M11" s="71">
        <f>K11-L11</f>
        <v/>
      </c>
      <c r="N11" s="71">
        <f>M11*Settings!$B$12</f>
        <v/>
      </c>
      <c r="O11" s="71">
        <f>M11+N11</f>
        <v/>
      </c>
      <c r="Q11" s="71">
        <f>O11-P11</f>
        <v/>
      </c>
      <c r="U11" s="70">
        <f>IF(R11="Paid",0,IF(TODAY()&gt;G11,TODAY()-G11,0))</f>
        <v/>
      </c>
    </row>
    <row r="12" customFormat="1" s="9">
      <c r="M12" s="71">
        <f>K12-L12</f>
        <v/>
      </c>
      <c r="N12" s="71">
        <f>M12*Settings!$B$12</f>
        <v/>
      </c>
      <c r="O12" s="71">
        <f>M12+N12</f>
        <v/>
      </c>
      <c r="Q12" s="71">
        <f>O12-P12</f>
        <v/>
      </c>
      <c r="U12" s="70">
        <f>IF(R12="Paid",0,IF(TODAY()&gt;G12,TODAY()-G12,0))</f>
        <v/>
      </c>
    </row>
    <row r="13" customFormat="1" s="9">
      <c r="M13" s="71">
        <f>K13-L13</f>
        <v/>
      </c>
      <c r="N13" s="71">
        <f>M13*Settings!$B$12</f>
        <v/>
      </c>
      <c r="O13" s="71">
        <f>M13+N13</f>
        <v/>
      </c>
      <c r="Q13" s="71">
        <f>O13-P13</f>
        <v/>
      </c>
      <c r="U13" s="70">
        <f>IF(R13="Paid",0,IF(TODAY()&gt;G13,TODAY()-G13,0))</f>
        <v/>
      </c>
    </row>
    <row r="14" customFormat="1" s="9">
      <c r="M14" s="71">
        <f>K14-L14</f>
        <v/>
      </c>
      <c r="N14" s="71">
        <f>M14*Settings!$B$12</f>
        <v/>
      </c>
      <c r="O14" s="71">
        <f>M14+N14</f>
        <v/>
      </c>
      <c r="Q14" s="71">
        <f>O14-P14</f>
        <v/>
      </c>
      <c r="U14" s="70">
        <f>IF(R14="Paid",0,IF(TODAY()&gt;G14,TODAY()-G14,0))</f>
        <v/>
      </c>
    </row>
    <row r="15" customFormat="1" s="9">
      <c r="M15" s="71">
        <f>K15-L15</f>
        <v/>
      </c>
      <c r="N15" s="71">
        <f>M15*Settings!$B$12</f>
        <v/>
      </c>
      <c r="O15" s="71">
        <f>M15+N15</f>
        <v/>
      </c>
      <c r="Q15" s="71">
        <f>O15-P15</f>
        <v/>
      </c>
      <c r="U15" s="70">
        <f>IF(R15="Paid",0,IF(TODAY()&gt;G15,TODAY()-G15,0))</f>
        <v/>
      </c>
    </row>
    <row r="16" customFormat="1" s="9">
      <c r="M16" s="71">
        <f>K16-L16</f>
        <v/>
      </c>
      <c r="N16" s="71">
        <f>M16*Settings!$B$12</f>
        <v/>
      </c>
      <c r="O16" s="71">
        <f>M16+N16</f>
        <v/>
      </c>
      <c r="Q16" s="71">
        <f>O16-P16</f>
        <v/>
      </c>
      <c r="U16" s="70">
        <f>IF(R16="Paid",0,IF(TODAY()&gt;G16,TODAY()-G16,0))</f>
        <v/>
      </c>
    </row>
    <row r="17" customFormat="1" s="9">
      <c r="M17" s="71">
        <f>K17-L17</f>
        <v/>
      </c>
      <c r="N17" s="71">
        <f>M17*Settings!$B$12</f>
        <v/>
      </c>
      <c r="O17" s="71">
        <f>M17+N17</f>
        <v/>
      </c>
      <c r="Q17" s="71">
        <f>O17-P17</f>
        <v/>
      </c>
      <c r="U17" s="70">
        <f>IF(R17="Paid",0,IF(TODAY()&gt;G17,TODAY()-G17,0))</f>
        <v/>
      </c>
    </row>
    <row r="18" customFormat="1" s="9">
      <c r="M18" s="71">
        <f>K18-L18</f>
        <v/>
      </c>
      <c r="N18" s="71">
        <f>M18*Settings!$B$12</f>
        <v/>
      </c>
      <c r="O18" s="71">
        <f>M18+N18</f>
        <v/>
      </c>
      <c r="Q18" s="71">
        <f>O18-P18</f>
        <v/>
      </c>
      <c r="U18" s="70">
        <f>IF(R18="Paid",0,IF(TODAY()&gt;G18,TODAY()-G18,0))</f>
        <v/>
      </c>
    </row>
    <row r="19" customFormat="1" s="9">
      <c r="M19" s="71">
        <f>K19-L19</f>
        <v/>
      </c>
      <c r="N19" s="71">
        <f>M19*Settings!$B$12</f>
        <v/>
      </c>
      <c r="O19" s="71">
        <f>M19+N19</f>
        <v/>
      </c>
      <c r="Q19" s="71">
        <f>O19-P19</f>
        <v/>
      </c>
      <c r="U19" s="70">
        <f>IF(R19="Paid",0,IF(TODAY()&gt;G19,TODAY()-G19,0))</f>
        <v/>
      </c>
    </row>
    <row r="20" customFormat="1" s="9">
      <c r="M20" s="71">
        <f>K20-L20</f>
        <v/>
      </c>
      <c r="N20" s="71">
        <f>M20*Settings!$B$12</f>
        <v/>
      </c>
      <c r="O20" s="71">
        <f>M20+N20</f>
        <v/>
      </c>
      <c r="Q20" s="71">
        <f>O20-P20</f>
        <v/>
      </c>
      <c r="U20" s="70">
        <f>IF(R20="Paid",0,IF(TODAY()&gt;G20,TODAY()-G20,0))</f>
        <v/>
      </c>
    </row>
    <row r="21" customFormat="1" s="9">
      <c r="M21" s="71">
        <f>K21-L21</f>
        <v/>
      </c>
      <c r="N21" s="71">
        <f>M21*Settings!$B$12</f>
        <v/>
      </c>
      <c r="O21" s="71">
        <f>M21+N21</f>
        <v/>
      </c>
      <c r="Q21" s="71">
        <f>O21-P21</f>
        <v/>
      </c>
      <c r="U21" s="70">
        <f>IF(R21="Paid",0,IF(TODAY()&gt;G21,TODAY()-G21,0))</f>
        <v/>
      </c>
    </row>
    <row r="22" customFormat="1" s="9">
      <c r="M22" s="71">
        <f>K22-L22</f>
        <v/>
      </c>
      <c r="N22" s="71">
        <f>M22*Settings!$B$12</f>
        <v/>
      </c>
      <c r="O22" s="71">
        <f>M22+N22</f>
        <v/>
      </c>
      <c r="Q22" s="71">
        <f>O22-P22</f>
        <v/>
      </c>
      <c r="U22" s="70">
        <f>IF(R22="Paid",0,IF(TODAY()&gt;G22,TODAY()-G22,0))</f>
        <v/>
      </c>
    </row>
    <row r="23" customFormat="1" s="9">
      <c r="M23" s="71">
        <f>K23-L23</f>
        <v/>
      </c>
      <c r="N23" s="71">
        <f>M23*Settings!$B$12</f>
        <v/>
      </c>
      <c r="O23" s="71">
        <f>M23+N23</f>
        <v/>
      </c>
      <c r="Q23" s="71">
        <f>O23-P23</f>
        <v/>
      </c>
      <c r="U23" s="70">
        <f>IF(R23="Paid",0,IF(TODAY()&gt;G23,TODAY()-G23,0))</f>
        <v/>
      </c>
    </row>
    <row r="24" customFormat="1" s="9">
      <c r="M24" s="71">
        <f>K24-L24</f>
        <v/>
      </c>
      <c r="N24" s="71">
        <f>M24*Settings!$B$12</f>
        <v/>
      </c>
      <c r="O24" s="71">
        <f>M24+N24</f>
        <v/>
      </c>
      <c r="Q24" s="71">
        <f>O24-P24</f>
        <v/>
      </c>
      <c r="U24" s="70">
        <f>IF(R24="Paid",0,IF(TODAY()&gt;G24,TODAY()-G24,0))</f>
        <v/>
      </c>
    </row>
    <row r="25" customFormat="1" s="9">
      <c r="M25" s="71">
        <f>K25-L25</f>
        <v/>
      </c>
      <c r="N25" s="71">
        <f>M25*Settings!$B$12</f>
        <v/>
      </c>
      <c r="O25" s="71">
        <f>M25+N25</f>
        <v/>
      </c>
      <c r="Q25" s="71">
        <f>O25-P25</f>
        <v/>
      </c>
      <c r="U25" s="70">
        <f>IF(R25="Paid",0,IF(TODAY()&gt;G25,TODAY()-G25,0))</f>
        <v/>
      </c>
    </row>
    <row r="26" customFormat="1" s="9">
      <c r="M26" s="71">
        <f>K26-L26</f>
        <v/>
      </c>
      <c r="N26" s="71">
        <f>M26*Settings!$B$12</f>
        <v/>
      </c>
      <c r="O26" s="71">
        <f>M26+N26</f>
        <v/>
      </c>
      <c r="Q26" s="71">
        <f>O26-P26</f>
        <v/>
      </c>
      <c r="U26" s="70">
        <f>IF(R26="Paid",0,IF(TODAY()&gt;G26,TODAY()-G26,0))</f>
        <v/>
      </c>
    </row>
    <row r="27" customFormat="1" s="9">
      <c r="M27" s="71">
        <f>K27-L27</f>
        <v/>
      </c>
      <c r="N27" s="71">
        <f>M27*Settings!$B$12</f>
        <v/>
      </c>
      <c r="O27" s="71">
        <f>M27+N27</f>
        <v/>
      </c>
      <c r="Q27" s="71">
        <f>O27-P27</f>
        <v/>
      </c>
      <c r="U27" s="70">
        <f>IF(R27="Paid",0,IF(TODAY()&gt;G27,TODAY()-G27,0))</f>
        <v/>
      </c>
    </row>
    <row r="28" customFormat="1" s="9">
      <c r="M28" s="71">
        <f>K28-L28</f>
        <v/>
      </c>
      <c r="N28" s="71">
        <f>M28*Settings!$B$12</f>
        <v/>
      </c>
      <c r="O28" s="71">
        <f>M28+N28</f>
        <v/>
      </c>
      <c r="Q28" s="71">
        <f>O28-P28</f>
        <v/>
      </c>
      <c r="U28" s="70">
        <f>IF(R28="Paid",0,IF(TODAY()&gt;G28,TODAY()-G28,0))</f>
        <v/>
      </c>
    </row>
    <row r="29" customFormat="1" s="9">
      <c r="M29" s="71">
        <f>K29-L29</f>
        <v/>
      </c>
      <c r="N29" s="71">
        <f>M29*Settings!$B$12</f>
        <v/>
      </c>
      <c r="O29" s="71">
        <f>M29+N29</f>
        <v/>
      </c>
      <c r="Q29" s="71">
        <f>O29-P29</f>
        <v/>
      </c>
      <c r="U29" s="70">
        <f>IF(R29="Paid",0,IF(TODAY()&gt;G29,TODAY()-G29,0))</f>
        <v/>
      </c>
    </row>
    <row r="30" customFormat="1" s="9">
      <c r="M30" s="71">
        <f>K30-L30</f>
        <v/>
      </c>
      <c r="N30" s="71">
        <f>M30*Settings!$B$12</f>
        <v/>
      </c>
      <c r="O30" s="71">
        <f>M30+N30</f>
        <v/>
      </c>
      <c r="Q30" s="71">
        <f>O30-P30</f>
        <v/>
      </c>
      <c r="U30" s="70">
        <f>IF(R30="Paid",0,IF(TODAY()&gt;G30,TODAY()-G30,0))</f>
        <v/>
      </c>
    </row>
    <row r="31" customFormat="1" s="9">
      <c r="M31" s="71">
        <f>K31-L31</f>
        <v/>
      </c>
      <c r="N31" s="71">
        <f>M31*Settings!$B$12</f>
        <v/>
      </c>
      <c r="O31" s="71">
        <f>M31+N31</f>
        <v/>
      </c>
      <c r="Q31" s="71">
        <f>O31-P31</f>
        <v/>
      </c>
      <c r="U31" s="70">
        <f>IF(R31="Paid",0,IF(TODAY()&gt;G31,TODAY()-G31,0))</f>
        <v/>
      </c>
    </row>
    <row r="32" customFormat="1" s="9">
      <c r="M32" s="71">
        <f>K32-L32</f>
        <v/>
      </c>
      <c r="N32" s="71">
        <f>M32*Settings!$B$12</f>
        <v/>
      </c>
      <c r="O32" s="71">
        <f>M32+N32</f>
        <v/>
      </c>
      <c r="Q32" s="71">
        <f>O32-P32</f>
        <v/>
      </c>
      <c r="U32" s="70">
        <f>IF(R32="Paid",0,IF(TODAY()&gt;G32,TODAY()-G32,0))</f>
        <v/>
      </c>
    </row>
    <row r="33" customFormat="1" s="9">
      <c r="M33" s="71">
        <f>K33-L33</f>
        <v/>
      </c>
      <c r="N33" s="71">
        <f>M33*Settings!$B$12</f>
        <v/>
      </c>
      <c r="O33" s="71">
        <f>M33+N33</f>
        <v/>
      </c>
      <c r="Q33" s="71">
        <f>O33-P33</f>
        <v/>
      </c>
      <c r="U33" s="70">
        <f>IF(R33="Paid",0,IF(TODAY()&gt;G33,TODAY()-G33,0))</f>
        <v/>
      </c>
    </row>
    <row r="34" customFormat="1" s="9">
      <c r="M34" s="71">
        <f>K34-L34</f>
        <v/>
      </c>
      <c r="N34" s="71">
        <f>M34*Settings!$B$12</f>
        <v/>
      </c>
      <c r="O34" s="71">
        <f>M34+N34</f>
        <v/>
      </c>
      <c r="Q34" s="71">
        <f>O34-P34</f>
        <v/>
      </c>
      <c r="U34" s="70">
        <f>IF(R34="Paid",0,IF(TODAY()&gt;G34,TODAY()-G34,0))</f>
        <v/>
      </c>
    </row>
    <row r="35" customFormat="1" s="9">
      <c r="M35" s="71">
        <f>K35-L35</f>
        <v/>
      </c>
      <c r="N35" s="71">
        <f>M35*Settings!$B$12</f>
        <v/>
      </c>
      <c r="O35" s="71">
        <f>M35+N35</f>
        <v/>
      </c>
      <c r="Q35" s="71">
        <f>O35-P35</f>
        <v/>
      </c>
      <c r="U35" s="70">
        <f>IF(R35="Paid",0,IF(TODAY()&gt;G35,TODAY()-G35,0))</f>
        <v/>
      </c>
    </row>
    <row r="36" customFormat="1" s="9">
      <c r="M36" s="71">
        <f>K36-L36</f>
        <v/>
      </c>
      <c r="N36" s="71">
        <f>M36*Settings!$B$12</f>
        <v/>
      </c>
      <c r="O36" s="71">
        <f>M36+N36</f>
        <v/>
      </c>
      <c r="Q36" s="71">
        <f>O36-P36</f>
        <v/>
      </c>
      <c r="U36" s="70">
        <f>IF(R36="Paid",0,IF(TODAY()&gt;G36,TODAY()-G36,0))</f>
        <v/>
      </c>
    </row>
    <row r="37" customFormat="1" s="9">
      <c r="M37" s="71">
        <f>K37-L37</f>
        <v/>
      </c>
      <c r="N37" s="71">
        <f>M37*Settings!$B$12</f>
        <v/>
      </c>
      <c r="O37" s="71">
        <f>M37+N37</f>
        <v/>
      </c>
      <c r="Q37" s="71">
        <f>O37-P37</f>
        <v/>
      </c>
      <c r="U37" s="70">
        <f>IF(R37="Paid",0,IF(TODAY()&gt;G37,TODAY()-G37,0))</f>
        <v/>
      </c>
    </row>
    <row r="38" customFormat="1" s="9">
      <c r="M38" s="71">
        <f>K38-L38</f>
        <v/>
      </c>
      <c r="N38" s="71">
        <f>M38*Settings!$B$12</f>
        <v/>
      </c>
      <c r="O38" s="71">
        <f>M38+N38</f>
        <v/>
      </c>
      <c r="Q38" s="71">
        <f>O38-P38</f>
        <v/>
      </c>
      <c r="U38" s="70">
        <f>IF(R38="Paid",0,IF(TODAY()&gt;G38,TODAY()-G38,0))</f>
        <v/>
      </c>
    </row>
    <row r="39" customFormat="1" s="9">
      <c r="M39" s="71">
        <f>K39-L39</f>
        <v/>
      </c>
      <c r="N39" s="71">
        <f>M39*Settings!$B$12</f>
        <v/>
      </c>
      <c r="O39" s="71">
        <f>M39+N39</f>
        <v/>
      </c>
      <c r="Q39" s="71">
        <f>O39-P39</f>
        <v/>
      </c>
      <c r="U39" s="70">
        <f>IF(R39="Paid",0,IF(TODAY()&gt;G39,TODAY()-G39,0))</f>
        <v/>
      </c>
    </row>
    <row r="40" customFormat="1" s="9">
      <c r="M40" s="71">
        <f>K40-L40</f>
        <v/>
      </c>
      <c r="N40" s="71">
        <f>M40*Settings!$B$12</f>
        <v/>
      </c>
      <c r="O40" s="71">
        <f>M40+N40</f>
        <v/>
      </c>
      <c r="Q40" s="71">
        <f>O40-P40</f>
        <v/>
      </c>
      <c r="U40" s="70">
        <f>IF(R40="Paid",0,IF(TODAY()&gt;G40,TODAY()-G40,0))</f>
        <v/>
      </c>
    </row>
    <row r="41" customFormat="1" s="9">
      <c r="M41" s="71">
        <f>K41-L41</f>
        <v/>
      </c>
      <c r="N41" s="71">
        <f>M41*Settings!$B$12</f>
        <v/>
      </c>
      <c r="O41" s="71">
        <f>M41+N41</f>
        <v/>
      </c>
      <c r="Q41" s="71">
        <f>O41-P41</f>
        <v/>
      </c>
      <c r="U41" s="70">
        <f>IF(R41="Paid",0,IF(TODAY()&gt;G41,TODAY()-G41,0))</f>
        <v/>
      </c>
    </row>
    <row r="42" customFormat="1" s="9">
      <c r="M42" s="71">
        <f>K42-L42</f>
        <v/>
      </c>
      <c r="N42" s="71">
        <f>M42*Settings!$B$12</f>
        <v/>
      </c>
      <c r="O42" s="71">
        <f>M42+N42</f>
        <v/>
      </c>
      <c r="Q42" s="71">
        <f>O42-P42</f>
        <v/>
      </c>
      <c r="U42" s="70">
        <f>IF(R42="Paid",0,IF(TODAY()&gt;G42,TODAY()-G42,0))</f>
        <v/>
      </c>
    </row>
    <row r="43" customFormat="1" s="9">
      <c r="M43" s="71">
        <f>K43-L43</f>
        <v/>
      </c>
      <c r="N43" s="71">
        <f>M43*Settings!$B$12</f>
        <v/>
      </c>
      <c r="O43" s="71">
        <f>M43+N43</f>
        <v/>
      </c>
      <c r="Q43" s="71">
        <f>O43-P43</f>
        <v/>
      </c>
      <c r="U43" s="70">
        <f>IF(R43="Paid",0,IF(TODAY()&gt;G43,TODAY()-G43,0))</f>
        <v/>
      </c>
    </row>
    <row r="44" customFormat="1" s="9">
      <c r="M44" s="71">
        <f>K44-L44</f>
        <v/>
      </c>
      <c r="N44" s="71">
        <f>M44*Settings!$B$12</f>
        <v/>
      </c>
      <c r="O44" s="71">
        <f>M44+N44</f>
        <v/>
      </c>
      <c r="Q44" s="71">
        <f>O44-P44</f>
        <v/>
      </c>
      <c r="U44" s="70">
        <f>IF(R44="Paid",0,IF(TODAY()&gt;G44,TODAY()-G44,0))</f>
        <v/>
      </c>
    </row>
    <row r="45" customFormat="1" s="9">
      <c r="M45" s="71">
        <f>K45-L45</f>
        <v/>
      </c>
      <c r="N45" s="71">
        <f>M45*Settings!$B$12</f>
        <v/>
      </c>
      <c r="O45" s="71">
        <f>M45+N45</f>
        <v/>
      </c>
      <c r="Q45" s="71">
        <f>O45-P45</f>
        <v/>
      </c>
      <c r="U45" s="70">
        <f>IF(R45="Paid",0,IF(TODAY()&gt;G45,TODAY()-G45,0))</f>
        <v/>
      </c>
    </row>
    <row r="46" customFormat="1" s="9">
      <c r="M46" s="71">
        <f>K46-L46</f>
        <v/>
      </c>
      <c r="N46" s="71">
        <f>M46*Settings!$B$12</f>
        <v/>
      </c>
      <c r="O46" s="71">
        <f>M46+N46</f>
        <v/>
      </c>
      <c r="Q46" s="71">
        <f>O46-P46</f>
        <v/>
      </c>
      <c r="U46" s="70">
        <f>IF(R46="Paid",0,IF(TODAY()&gt;G46,TODAY()-G46,0))</f>
        <v/>
      </c>
    </row>
    <row r="47" customFormat="1" s="9">
      <c r="M47" s="71">
        <f>K47-L47</f>
        <v/>
      </c>
      <c r="N47" s="71">
        <f>M47*Settings!$B$12</f>
        <v/>
      </c>
      <c r="O47" s="71">
        <f>M47+N47</f>
        <v/>
      </c>
      <c r="Q47" s="71">
        <f>O47-P47</f>
        <v/>
      </c>
      <c r="U47" s="70">
        <f>IF(R47="Paid",0,IF(TODAY()&gt;G47,TODAY()-G47,0))</f>
        <v/>
      </c>
    </row>
    <row r="48" customFormat="1" s="9">
      <c r="M48" s="71">
        <f>K48-L48</f>
        <v/>
      </c>
      <c r="N48" s="71">
        <f>M48*Settings!$B$12</f>
        <v/>
      </c>
      <c r="O48" s="71">
        <f>M48+N48</f>
        <v/>
      </c>
      <c r="Q48" s="71">
        <f>O48-P48</f>
        <v/>
      </c>
      <c r="U48" s="70">
        <f>IF(R48="Paid",0,IF(TODAY()&gt;G48,TODAY()-G48,0))</f>
        <v/>
      </c>
    </row>
    <row r="49" customFormat="1" s="9">
      <c r="M49" s="71">
        <f>K49-L49</f>
        <v/>
      </c>
      <c r="N49" s="71">
        <f>M49*Settings!$B$12</f>
        <v/>
      </c>
      <c r="O49" s="71">
        <f>M49+N49</f>
        <v/>
      </c>
      <c r="Q49" s="71">
        <f>O49-P49</f>
        <v/>
      </c>
      <c r="U49" s="70">
        <f>IF(R49="Paid",0,IF(TODAY()&gt;G49,TODAY()-G49,0))</f>
        <v/>
      </c>
    </row>
    <row r="50" customFormat="1" s="9">
      <c r="M50" s="71">
        <f>K50-L50</f>
        <v/>
      </c>
      <c r="N50" s="71">
        <f>M50*Settings!$B$12</f>
        <v/>
      </c>
      <c r="O50" s="71">
        <f>M50+N50</f>
        <v/>
      </c>
      <c r="Q50" s="71">
        <f>O50-P50</f>
        <v/>
      </c>
      <c r="U50" s="70">
        <f>IF(R50="Paid",0,IF(TODAY()&gt;G50,TODAY()-G50,0))</f>
        <v/>
      </c>
    </row>
    <row r="51" customFormat="1" s="9">
      <c r="M51" s="71">
        <f>K51-L51</f>
        <v/>
      </c>
      <c r="N51" s="71">
        <f>M51*Settings!$B$12</f>
        <v/>
      </c>
      <c r="O51" s="71">
        <f>M51+N51</f>
        <v/>
      </c>
      <c r="Q51" s="71">
        <f>O51-P51</f>
        <v/>
      </c>
      <c r="U51" s="70">
        <f>IF(R51="Paid",0,IF(TODAY()&gt;G51,TODAY()-G51,0))</f>
        <v/>
      </c>
    </row>
    <row r="52" customFormat="1" s="9">
      <c r="M52" s="71">
        <f>K52-L52</f>
        <v/>
      </c>
      <c r="N52" s="71">
        <f>M52*Settings!$B$12</f>
        <v/>
      </c>
      <c r="O52" s="71">
        <f>M52+N52</f>
        <v/>
      </c>
      <c r="Q52" s="71">
        <f>O52-P52</f>
        <v/>
      </c>
      <c r="U52" s="70">
        <f>IF(R52="Paid",0,IF(TODAY()&gt;G52,TODAY()-G52,0))</f>
        <v/>
      </c>
    </row>
    <row r="53" customFormat="1" s="9">
      <c r="M53" s="71">
        <f>K53-L53</f>
        <v/>
      </c>
      <c r="N53" s="71">
        <f>M53*Settings!$B$12</f>
        <v/>
      </c>
      <c r="O53" s="71">
        <f>M53+N53</f>
        <v/>
      </c>
      <c r="Q53" s="71">
        <f>O53-P53</f>
        <v/>
      </c>
      <c r="U53" s="70">
        <f>IF(R53="Paid",0,IF(TODAY()&gt;G53,TODAY()-G53,0))</f>
        <v/>
      </c>
    </row>
    <row r="54" customFormat="1" s="9">
      <c r="M54" s="71">
        <f>K54-L54</f>
        <v/>
      </c>
      <c r="N54" s="71">
        <f>M54*Settings!$B$12</f>
        <v/>
      </c>
      <c r="O54" s="71">
        <f>M54+N54</f>
        <v/>
      </c>
      <c r="Q54" s="71">
        <f>O54-P54</f>
        <v/>
      </c>
      <c r="U54" s="70">
        <f>IF(R54="Paid",0,IF(TODAY()&gt;G54,TODAY()-G54,0))</f>
        <v/>
      </c>
    </row>
    <row r="55" customFormat="1" s="9">
      <c r="M55" s="71">
        <f>K55-L55</f>
        <v/>
      </c>
      <c r="N55" s="71">
        <f>M55*Settings!$B$12</f>
        <v/>
      </c>
      <c r="O55" s="71">
        <f>M55+N55</f>
        <v/>
      </c>
      <c r="Q55" s="71">
        <f>O55-P55</f>
        <v/>
      </c>
      <c r="U55" s="70">
        <f>IF(R55="Paid",0,IF(TODAY()&gt;G55,TODAY()-G55,0))</f>
        <v/>
      </c>
    </row>
    <row r="56" customFormat="1" s="9">
      <c r="M56" s="71">
        <f>K56-L56</f>
        <v/>
      </c>
      <c r="N56" s="71">
        <f>M56*Settings!$B$12</f>
        <v/>
      </c>
      <c r="O56" s="71">
        <f>M56+N56</f>
        <v/>
      </c>
      <c r="Q56" s="71">
        <f>O56-P56</f>
        <v/>
      </c>
      <c r="U56" s="70">
        <f>IF(R56="Paid",0,IF(TODAY()&gt;G56,TODAY()-G56,0))</f>
        <v/>
      </c>
    </row>
    <row r="57" customFormat="1" s="9">
      <c r="M57" s="71">
        <f>K57-L57</f>
        <v/>
      </c>
      <c r="N57" s="71">
        <f>M57*Settings!$B$12</f>
        <v/>
      </c>
      <c r="O57" s="71">
        <f>M57+N57</f>
        <v/>
      </c>
      <c r="Q57" s="71">
        <f>O57-P57</f>
        <v/>
      </c>
      <c r="U57" s="70">
        <f>IF(R57="Paid",0,IF(TODAY()&gt;G57,TODAY()-G57,0))</f>
        <v/>
      </c>
    </row>
    <row r="58" customFormat="1" s="9">
      <c r="M58" s="71">
        <f>K58-L58</f>
        <v/>
      </c>
      <c r="N58" s="71">
        <f>M58*Settings!$B$12</f>
        <v/>
      </c>
      <c r="O58" s="71">
        <f>M58+N58</f>
        <v/>
      </c>
      <c r="Q58" s="71">
        <f>O58-P58</f>
        <v/>
      </c>
      <c r="U58" s="70">
        <f>IF(R58="Paid",0,IF(TODAY()&gt;G58,TODAY()-G58,0))</f>
        <v/>
      </c>
    </row>
    <row r="59" customFormat="1" s="9">
      <c r="M59" s="71">
        <f>K59-L59</f>
        <v/>
      </c>
      <c r="N59" s="71">
        <f>M59*Settings!$B$12</f>
        <v/>
      </c>
      <c r="O59" s="71">
        <f>M59+N59</f>
        <v/>
      </c>
      <c r="Q59" s="71">
        <f>O59-P59</f>
        <v/>
      </c>
      <c r="U59" s="70">
        <f>IF(R59="Paid",0,IF(TODAY()&gt;G59,TODAY()-G59,0))</f>
        <v/>
      </c>
    </row>
    <row r="60" customFormat="1" s="9">
      <c r="M60" s="71">
        <f>K60-L60</f>
        <v/>
      </c>
      <c r="N60" s="71">
        <f>M60*Settings!$B$12</f>
        <v/>
      </c>
      <c r="O60" s="71">
        <f>M60+N60</f>
        <v/>
      </c>
      <c r="Q60" s="71">
        <f>O60-P60</f>
        <v/>
      </c>
      <c r="U60" s="70">
        <f>IF(R60="Paid",0,IF(TODAY()&gt;G60,TODAY()-G60,0))</f>
        <v/>
      </c>
    </row>
    <row r="61" customFormat="1" s="9">
      <c r="M61" s="71">
        <f>K61-L61</f>
        <v/>
      </c>
      <c r="N61" s="71">
        <f>M61*Settings!$B$12</f>
        <v/>
      </c>
      <c r="O61" s="71">
        <f>M61+N61</f>
        <v/>
      </c>
      <c r="Q61" s="71">
        <f>O61-P61</f>
        <v/>
      </c>
      <c r="U61" s="70">
        <f>IF(R61="Paid",0,IF(TODAY()&gt;G61,TODAY()-G61,0))</f>
        <v/>
      </c>
    </row>
    <row r="62" customFormat="1" s="9">
      <c r="M62" s="71">
        <f>K62-L62</f>
        <v/>
      </c>
      <c r="N62" s="71">
        <f>M62*Settings!$B$12</f>
        <v/>
      </c>
      <c r="O62" s="71">
        <f>M62+N62</f>
        <v/>
      </c>
      <c r="Q62" s="71">
        <f>O62-P62</f>
        <v/>
      </c>
      <c r="U62" s="70">
        <f>IF(R62="Paid",0,IF(TODAY()&gt;G62,TODAY()-G62,0))</f>
        <v/>
      </c>
    </row>
    <row r="63" customFormat="1" s="9">
      <c r="M63" s="71">
        <f>K63-L63</f>
        <v/>
      </c>
      <c r="N63" s="71">
        <f>M63*Settings!$B$12</f>
        <v/>
      </c>
      <c r="O63" s="71">
        <f>M63+N63</f>
        <v/>
      </c>
      <c r="Q63" s="71">
        <f>O63-P63</f>
        <v/>
      </c>
      <c r="U63" s="70">
        <f>IF(R63="Paid",0,IF(TODAY()&gt;G63,TODAY()-G63,0))</f>
        <v/>
      </c>
    </row>
    <row r="64" customFormat="1" s="9">
      <c r="M64" s="71">
        <f>K64-L64</f>
        <v/>
      </c>
      <c r="N64" s="71">
        <f>M64*Settings!$B$12</f>
        <v/>
      </c>
      <c r="O64" s="71">
        <f>M64+N64</f>
        <v/>
      </c>
      <c r="Q64" s="71">
        <f>O64-P64</f>
        <v/>
      </c>
      <c r="U64" s="70">
        <f>IF(R64="Paid",0,IF(TODAY()&gt;G64,TODAY()-G64,0))</f>
        <v/>
      </c>
    </row>
    <row r="65" customFormat="1" s="9">
      <c r="M65" s="71">
        <f>K65-L65</f>
        <v/>
      </c>
      <c r="N65" s="71">
        <f>M65*Settings!$B$12</f>
        <v/>
      </c>
      <c r="O65" s="71">
        <f>M65+N65</f>
        <v/>
      </c>
      <c r="Q65" s="71">
        <f>O65-P65</f>
        <v/>
      </c>
      <c r="U65" s="70">
        <f>IF(R65="Paid",0,IF(TODAY()&gt;G65,TODAY()-G65,0))</f>
        <v/>
      </c>
    </row>
    <row r="66" customFormat="1" s="9">
      <c r="M66" s="71">
        <f>K66-L66</f>
        <v/>
      </c>
      <c r="N66" s="71">
        <f>M66*Settings!$B$12</f>
        <v/>
      </c>
      <c r="O66" s="71">
        <f>M66+N66</f>
        <v/>
      </c>
      <c r="Q66" s="71">
        <f>O66-P66</f>
        <v/>
      </c>
      <c r="U66" s="70">
        <f>IF(R66="Paid",0,IF(TODAY()&gt;G66,TODAY()-G66,0))</f>
        <v/>
      </c>
    </row>
    <row r="67" customFormat="1" s="9">
      <c r="M67" s="71">
        <f>K67-L67</f>
        <v/>
      </c>
      <c r="N67" s="71">
        <f>M67*Settings!$B$12</f>
        <v/>
      </c>
      <c r="O67" s="71">
        <f>M67+N67</f>
        <v/>
      </c>
      <c r="Q67" s="71">
        <f>O67-P67</f>
        <v/>
      </c>
      <c r="U67" s="70">
        <f>IF(R67="Paid",0,IF(TODAY()&gt;G67,TODAY()-G67,0))</f>
        <v/>
      </c>
    </row>
    <row r="68" customFormat="1" s="9">
      <c r="M68" s="71">
        <f>K68-L68</f>
        <v/>
      </c>
      <c r="N68" s="71">
        <f>M68*Settings!$B$12</f>
        <v/>
      </c>
      <c r="O68" s="71">
        <f>M68+N68</f>
        <v/>
      </c>
      <c r="Q68" s="71">
        <f>O68-P68</f>
        <v/>
      </c>
      <c r="U68" s="70">
        <f>IF(R68="Paid",0,IF(TODAY()&gt;G68,TODAY()-G68,0))</f>
        <v/>
      </c>
    </row>
    <row r="69" customFormat="1" s="9">
      <c r="M69" s="71">
        <f>K69-L69</f>
        <v/>
      </c>
      <c r="N69" s="71">
        <f>M69*Settings!$B$12</f>
        <v/>
      </c>
      <c r="O69" s="71">
        <f>M69+N69</f>
        <v/>
      </c>
      <c r="Q69" s="71">
        <f>O69-P69</f>
        <v/>
      </c>
      <c r="U69" s="70">
        <f>IF(R69="Paid",0,IF(TODAY()&gt;G69,TODAY()-G69,0))</f>
        <v/>
      </c>
    </row>
    <row r="70" customFormat="1" s="9">
      <c r="M70" s="71">
        <f>K70-L70</f>
        <v/>
      </c>
      <c r="N70" s="71">
        <f>M70*Settings!$B$12</f>
        <v/>
      </c>
      <c r="O70" s="71">
        <f>M70+N70</f>
        <v/>
      </c>
      <c r="Q70" s="71">
        <f>O70-P70</f>
        <v/>
      </c>
      <c r="U70" s="70">
        <f>IF(R70="Paid",0,IF(TODAY()&gt;G70,TODAY()-G70,0))</f>
        <v/>
      </c>
    </row>
    <row r="71" customFormat="1" s="9">
      <c r="M71" s="71">
        <f>K71-L71</f>
        <v/>
      </c>
      <c r="N71" s="71">
        <f>M71*Settings!$B$12</f>
        <v/>
      </c>
      <c r="O71" s="71">
        <f>M71+N71</f>
        <v/>
      </c>
      <c r="Q71" s="71">
        <f>O71-P71</f>
        <v/>
      </c>
      <c r="U71" s="70">
        <f>IF(R71="Paid",0,IF(TODAY()&gt;G71,TODAY()-G71,0))</f>
        <v/>
      </c>
    </row>
    <row r="72" customFormat="1" s="9">
      <c r="M72" s="71">
        <f>K72-L72</f>
        <v/>
      </c>
      <c r="N72" s="71">
        <f>M72*Settings!$B$12</f>
        <v/>
      </c>
      <c r="O72" s="71">
        <f>M72+N72</f>
        <v/>
      </c>
      <c r="Q72" s="71">
        <f>O72-P72</f>
        <v/>
      </c>
      <c r="U72" s="70">
        <f>IF(R72="Paid",0,IF(TODAY()&gt;G72,TODAY()-G72,0))</f>
        <v/>
      </c>
    </row>
    <row r="73" customFormat="1" s="9">
      <c r="M73" s="71">
        <f>K73-L73</f>
        <v/>
      </c>
      <c r="N73" s="71">
        <f>M73*Settings!$B$12</f>
        <v/>
      </c>
      <c r="O73" s="71">
        <f>M73+N73</f>
        <v/>
      </c>
      <c r="Q73" s="71">
        <f>O73-P73</f>
        <v/>
      </c>
      <c r="U73" s="70">
        <f>IF(R73="Paid",0,IF(TODAY()&gt;G73,TODAY()-G73,0))</f>
        <v/>
      </c>
    </row>
    <row r="74" customFormat="1" s="9">
      <c r="M74" s="71">
        <f>K74-L74</f>
        <v/>
      </c>
      <c r="N74" s="71">
        <f>M74*Settings!$B$12</f>
        <v/>
      </c>
      <c r="O74" s="71">
        <f>M74+N74</f>
        <v/>
      </c>
      <c r="Q74" s="71">
        <f>O74-P74</f>
        <v/>
      </c>
      <c r="U74" s="70">
        <f>IF(R74="Paid",0,IF(TODAY()&gt;G74,TODAY()-G74,0))</f>
        <v/>
      </c>
    </row>
    <row r="75" customFormat="1" s="9">
      <c r="M75" s="71">
        <f>K75-L75</f>
        <v/>
      </c>
      <c r="N75" s="71">
        <f>M75*Settings!$B$12</f>
        <v/>
      </c>
      <c r="O75" s="71">
        <f>M75+N75</f>
        <v/>
      </c>
      <c r="Q75" s="71">
        <f>O75-P75</f>
        <v/>
      </c>
      <c r="U75" s="70">
        <f>IF(R75="Paid",0,IF(TODAY()&gt;G75,TODAY()-G75,0))</f>
        <v/>
      </c>
    </row>
    <row r="76" customFormat="1" s="9">
      <c r="M76" s="71">
        <f>K76-L76</f>
        <v/>
      </c>
      <c r="N76" s="71">
        <f>M76*Settings!$B$12</f>
        <v/>
      </c>
      <c r="O76" s="71">
        <f>M76+N76</f>
        <v/>
      </c>
      <c r="Q76" s="71">
        <f>O76-P76</f>
        <v/>
      </c>
      <c r="U76" s="70">
        <f>IF(R76="Paid",0,IF(TODAY()&gt;G76,TODAY()-G76,0))</f>
        <v/>
      </c>
    </row>
    <row r="77" customFormat="1" s="9">
      <c r="M77" s="71">
        <f>K77-L77</f>
        <v/>
      </c>
      <c r="N77" s="71">
        <f>M77*Settings!$B$12</f>
        <v/>
      </c>
      <c r="O77" s="71">
        <f>M77+N77</f>
        <v/>
      </c>
      <c r="Q77" s="71">
        <f>O77-P77</f>
        <v/>
      </c>
      <c r="U77" s="70">
        <f>IF(R77="Paid",0,IF(TODAY()&gt;G77,TODAY()-G77,0))</f>
        <v/>
      </c>
    </row>
    <row r="78" customFormat="1" s="9">
      <c r="M78" s="71">
        <f>K78-L78</f>
        <v/>
      </c>
      <c r="N78" s="71">
        <f>M78*Settings!$B$12</f>
        <v/>
      </c>
      <c r="O78" s="71">
        <f>M78+N78</f>
        <v/>
      </c>
      <c r="Q78" s="71">
        <f>O78-P78</f>
        <v/>
      </c>
      <c r="U78" s="70">
        <f>IF(R78="Paid",0,IF(TODAY()&gt;G78,TODAY()-G78,0))</f>
        <v/>
      </c>
    </row>
    <row r="79" customFormat="1" s="9">
      <c r="M79" s="71">
        <f>K79-L79</f>
        <v/>
      </c>
      <c r="N79" s="71">
        <f>M79*Settings!$B$12</f>
        <v/>
      </c>
      <c r="O79" s="71">
        <f>M79+N79</f>
        <v/>
      </c>
      <c r="Q79" s="71">
        <f>O79-P79</f>
        <v/>
      </c>
      <c r="U79" s="70">
        <f>IF(R79="Paid",0,IF(TODAY()&gt;G79,TODAY()-G79,0))</f>
        <v/>
      </c>
    </row>
    <row r="80" customFormat="1" s="9">
      <c r="M80" s="71">
        <f>K80-L80</f>
        <v/>
      </c>
      <c r="N80" s="71">
        <f>M80*Settings!$B$12</f>
        <v/>
      </c>
      <c r="O80" s="71">
        <f>M80+N80</f>
        <v/>
      </c>
      <c r="Q80" s="71">
        <f>O80-P80</f>
        <v/>
      </c>
      <c r="U80" s="70">
        <f>IF(R80="Paid",0,IF(TODAY()&gt;G80,TODAY()-G80,0))</f>
        <v/>
      </c>
    </row>
    <row r="81" customFormat="1" s="9">
      <c r="M81" s="71">
        <f>K81-L81</f>
        <v/>
      </c>
      <c r="N81" s="71">
        <f>M81*Settings!$B$12</f>
        <v/>
      </c>
      <c r="O81" s="71">
        <f>M81+N81</f>
        <v/>
      </c>
      <c r="Q81" s="71">
        <f>O81-P81</f>
        <v/>
      </c>
      <c r="U81" s="70">
        <f>IF(R81="Paid",0,IF(TODAY()&gt;G81,TODAY()-G81,0))</f>
        <v/>
      </c>
    </row>
    <row r="82" customFormat="1" s="9">
      <c r="M82" s="71">
        <f>K82-L82</f>
        <v/>
      </c>
      <c r="N82" s="71">
        <f>M82*Settings!$B$12</f>
        <v/>
      </c>
      <c r="O82" s="71">
        <f>M82+N82</f>
        <v/>
      </c>
      <c r="Q82" s="71">
        <f>O82-P82</f>
        <v/>
      </c>
      <c r="U82" s="70">
        <f>IF(R82="Paid",0,IF(TODAY()&gt;G82,TODAY()-G82,0))</f>
        <v/>
      </c>
    </row>
    <row r="83" customFormat="1" s="9">
      <c r="M83" s="71">
        <f>K83-L83</f>
        <v/>
      </c>
      <c r="N83" s="71">
        <f>M83*Settings!$B$12</f>
        <v/>
      </c>
      <c r="O83" s="71">
        <f>M83+N83</f>
        <v/>
      </c>
      <c r="Q83" s="71">
        <f>O83-P83</f>
        <v/>
      </c>
      <c r="U83" s="70">
        <f>IF(R83="Paid",0,IF(TODAY()&gt;G83,TODAY()-G83,0))</f>
        <v/>
      </c>
    </row>
    <row r="84" customFormat="1" s="9">
      <c r="M84" s="71">
        <f>K84-L84</f>
        <v/>
      </c>
      <c r="N84" s="71">
        <f>M84*Settings!$B$12</f>
        <v/>
      </c>
      <c r="O84" s="71">
        <f>M84+N84</f>
        <v/>
      </c>
      <c r="Q84" s="71">
        <f>O84-P84</f>
        <v/>
      </c>
      <c r="U84" s="70">
        <f>IF(R84="Paid",0,IF(TODAY()&gt;G84,TODAY()-G84,0))</f>
        <v/>
      </c>
    </row>
    <row r="85" customFormat="1" s="9">
      <c r="M85" s="71">
        <f>K85-L85</f>
        <v/>
      </c>
      <c r="N85" s="71">
        <f>M85*Settings!$B$12</f>
        <v/>
      </c>
      <c r="O85" s="71">
        <f>M85+N85</f>
        <v/>
      </c>
      <c r="Q85" s="71">
        <f>O85-P85</f>
        <v/>
      </c>
      <c r="U85" s="70">
        <f>IF(R85="Paid",0,IF(TODAY()&gt;G85,TODAY()-G85,0))</f>
        <v/>
      </c>
    </row>
    <row r="86" customFormat="1" s="9">
      <c r="M86" s="71">
        <f>K86-L86</f>
        <v/>
      </c>
      <c r="N86" s="71">
        <f>M86*Settings!$B$12</f>
        <v/>
      </c>
      <c r="O86" s="71">
        <f>M86+N86</f>
        <v/>
      </c>
      <c r="Q86" s="71">
        <f>O86-P86</f>
        <v/>
      </c>
      <c r="U86" s="70">
        <f>IF(R86="Paid",0,IF(TODAY()&gt;G86,TODAY()-G86,0))</f>
        <v/>
      </c>
    </row>
    <row r="87" customFormat="1" s="9">
      <c r="M87" s="71">
        <f>K87-L87</f>
        <v/>
      </c>
      <c r="N87" s="71">
        <f>M87*Settings!$B$12</f>
        <v/>
      </c>
      <c r="O87" s="71">
        <f>M87+N87</f>
        <v/>
      </c>
      <c r="Q87" s="71">
        <f>O87-P87</f>
        <v/>
      </c>
      <c r="U87" s="70">
        <f>IF(R87="Paid",0,IF(TODAY()&gt;G87,TODAY()-G87,0))</f>
        <v/>
      </c>
    </row>
    <row r="88" customFormat="1" s="9">
      <c r="M88" s="71">
        <f>K88-L88</f>
        <v/>
      </c>
      <c r="N88" s="71">
        <f>M88*Settings!$B$12</f>
        <v/>
      </c>
      <c r="O88" s="71">
        <f>M88+N88</f>
        <v/>
      </c>
      <c r="Q88" s="71">
        <f>O88-P88</f>
        <v/>
      </c>
      <c r="U88" s="70">
        <f>IF(R88="Paid",0,IF(TODAY()&gt;G88,TODAY()-G88,0))</f>
        <v/>
      </c>
    </row>
    <row r="89" customFormat="1" s="9">
      <c r="M89" s="71">
        <f>K89-L89</f>
        <v/>
      </c>
      <c r="N89" s="71">
        <f>M89*Settings!$B$12</f>
        <v/>
      </c>
      <c r="O89" s="71">
        <f>M89+N89</f>
        <v/>
      </c>
      <c r="Q89" s="71">
        <f>O89-P89</f>
        <v/>
      </c>
      <c r="U89" s="70">
        <f>IF(R89="Paid",0,IF(TODAY()&gt;G89,TODAY()-G89,0))</f>
        <v/>
      </c>
    </row>
    <row r="90" customFormat="1" s="9">
      <c r="M90" s="71">
        <f>K90-L90</f>
        <v/>
      </c>
      <c r="N90" s="71">
        <f>M90*Settings!$B$12</f>
        <v/>
      </c>
      <c r="O90" s="71">
        <f>M90+N90</f>
        <v/>
      </c>
      <c r="Q90" s="71">
        <f>O90-P90</f>
        <v/>
      </c>
      <c r="U90" s="70">
        <f>IF(R90="Paid",0,IF(TODAY()&gt;G90,TODAY()-G90,0))</f>
        <v/>
      </c>
    </row>
    <row r="91" s="11">
      <c r="M91" s="71">
        <f>K91-L91</f>
        <v/>
      </c>
      <c r="N91" s="71">
        <f>M91*Settings!$B$12</f>
        <v/>
      </c>
      <c r="O91" s="71">
        <f>M91+N91</f>
        <v/>
      </c>
      <c r="Q91" s="71">
        <f>O91-P91</f>
        <v/>
      </c>
      <c r="U91" s="70">
        <f>IF(R91="Paid",0,IF(TODAY()&gt;G91,TODAY()-G91,0))</f>
        <v/>
      </c>
    </row>
    <row r="92" s="11">
      <c r="M92" s="71">
        <f>K92-L92</f>
        <v/>
      </c>
      <c r="N92" s="71">
        <f>M92*Settings!$B$12</f>
        <v/>
      </c>
      <c r="O92" s="71">
        <f>M92+N92</f>
        <v/>
      </c>
      <c r="Q92" s="71">
        <f>O92-P92</f>
        <v/>
      </c>
      <c r="U92" s="70">
        <f>IF(R92="Paid",0,IF(TODAY()&gt;G92,TODAY()-G92,0))</f>
        <v/>
      </c>
    </row>
    <row r="93" s="11">
      <c r="M93" s="71">
        <f>K93-L93</f>
        <v/>
      </c>
      <c r="N93" s="71">
        <f>M93*Settings!$B$12</f>
        <v/>
      </c>
      <c r="O93" s="71">
        <f>M93+N93</f>
        <v/>
      </c>
      <c r="Q93" s="71">
        <f>O93-P93</f>
        <v/>
      </c>
      <c r="U93" s="70">
        <f>IF(R93="Paid",0,IF(TODAY()&gt;G93,TODAY()-G93,0))</f>
        <v/>
      </c>
    </row>
    <row r="94" s="11">
      <c r="M94" s="71">
        <f>K94-L94</f>
        <v/>
      </c>
      <c r="N94" s="71">
        <f>M94*Settings!$B$12</f>
        <v/>
      </c>
      <c r="O94" s="71">
        <f>M94+N94</f>
        <v/>
      </c>
      <c r="Q94" s="71">
        <f>O94-P94</f>
        <v/>
      </c>
      <c r="U94" s="70">
        <f>IF(R94="Paid",0,IF(TODAY()&gt;G94,TODAY()-G94,0))</f>
        <v/>
      </c>
    </row>
    <row r="95" s="11">
      <c r="M95" s="71">
        <f>K95-L95</f>
        <v/>
      </c>
      <c r="N95" s="71">
        <f>M95*Settings!$B$12</f>
        <v/>
      </c>
      <c r="O95" s="71">
        <f>M95+N95</f>
        <v/>
      </c>
      <c r="Q95" s="71">
        <f>O95-P95</f>
        <v/>
      </c>
      <c r="U95" s="70">
        <f>IF(R95="Paid",0,IF(TODAY()&gt;G95,TODAY()-G95,0))</f>
        <v/>
      </c>
    </row>
    <row r="96" s="11">
      <c r="M96" s="71">
        <f>K96-L96</f>
        <v/>
      </c>
      <c r="N96" s="71">
        <f>M96*Settings!$B$12</f>
        <v/>
      </c>
      <c r="O96" s="71">
        <f>M96+N96</f>
        <v/>
      </c>
      <c r="Q96" s="71">
        <f>O96-P96</f>
        <v/>
      </c>
      <c r="U96" s="70">
        <f>IF(R96="Paid",0,IF(TODAY()&gt;G96,TODAY()-G96,0))</f>
        <v/>
      </c>
    </row>
    <row r="97" s="11">
      <c r="M97" s="71">
        <f>K97-L97</f>
        <v/>
      </c>
      <c r="N97" s="71">
        <f>M97*Settings!$B$12</f>
        <v/>
      </c>
      <c r="O97" s="71">
        <f>M97+N97</f>
        <v/>
      </c>
      <c r="Q97" s="71">
        <f>O97-P97</f>
        <v/>
      </c>
      <c r="U97" s="70">
        <f>IF(R97="Paid",0,IF(TODAY()&gt;G97,TODAY()-G97,0))</f>
        <v/>
      </c>
    </row>
    <row r="98" s="11">
      <c r="M98" s="71">
        <f>K98-L98</f>
        <v/>
      </c>
      <c r="N98" s="71">
        <f>M98*Settings!$B$12</f>
        <v/>
      </c>
      <c r="O98" s="71">
        <f>M98+N98</f>
        <v/>
      </c>
      <c r="Q98" s="71">
        <f>O98-P98</f>
        <v/>
      </c>
      <c r="U98" s="70">
        <f>IF(R98="Paid",0,IF(TODAY()&gt;G98,TODAY()-G98,0))</f>
        <v/>
      </c>
    </row>
    <row r="99" s="11">
      <c r="M99" s="71">
        <f>K99-L99</f>
        <v/>
      </c>
      <c r="N99" s="71">
        <f>M99*Settings!$B$12</f>
        <v/>
      </c>
      <c r="O99" s="71">
        <f>M99+N99</f>
        <v/>
      </c>
      <c r="Q99" s="71">
        <f>O99-P99</f>
        <v/>
      </c>
      <c r="U99" s="70">
        <f>IF(R99="Paid",0,IF(TODAY()&gt;G99,TODAY()-G99,0))</f>
        <v/>
      </c>
    </row>
    <row r="100" s="11">
      <c r="M100" s="71">
        <f>K100-L100</f>
        <v/>
      </c>
      <c r="N100" s="71">
        <f>M100*Settings!$B$12</f>
        <v/>
      </c>
      <c r="O100" s="71">
        <f>M100+N100</f>
        <v/>
      </c>
      <c r="Q100" s="71">
        <f>O100-P100</f>
        <v/>
      </c>
      <c r="U100" s="70">
        <f>IF(R100="Paid",0,IF(TODAY()&gt;G100,TODAY()-G100,0))</f>
        <v/>
      </c>
    </row>
    <row r="101" s="11">
      <c r="M101" s="71">
        <f>K101-L101</f>
        <v/>
      </c>
      <c r="N101" s="71">
        <f>M101*Settings!$B$12</f>
        <v/>
      </c>
      <c r="O101" s="71">
        <f>M101+N101</f>
        <v/>
      </c>
      <c r="Q101" s="71">
        <f>O101-P101</f>
        <v/>
      </c>
      <c r="U101" s="70">
        <f>IF(R101="Paid",0,IF(TODAY()&gt;G101,TODAY()-G101,0))</f>
        <v/>
      </c>
    </row>
    <row r="102" s="11">
      <c r="M102" s="71">
        <f>K102-L102</f>
        <v/>
      </c>
      <c r="N102" s="71">
        <f>M102*Settings!$B$12</f>
        <v/>
      </c>
      <c r="O102" s="71">
        <f>M102+N102</f>
        <v/>
      </c>
      <c r="Q102" s="71">
        <f>O102-P102</f>
        <v/>
      </c>
      <c r="U102" s="70">
        <f>IF(R102="Paid",0,IF(TODAY()&gt;G102,TODAY()-G102,0))</f>
        <v/>
      </c>
    </row>
    <row r="103" s="11">
      <c r="M103" s="71">
        <f>K103-L103</f>
        <v/>
      </c>
      <c r="N103" s="71">
        <f>M103*Settings!$B$12</f>
        <v/>
      </c>
      <c r="O103" s="71">
        <f>M103+N103</f>
        <v/>
      </c>
      <c r="Q103" s="71">
        <f>O103-P103</f>
        <v/>
      </c>
      <c r="U103" s="70">
        <f>IF(R103="Paid",0,IF(TODAY()&gt;G103,TODAY()-G103,0))</f>
        <v/>
      </c>
    </row>
    <row r="104" s="11">
      <c r="M104" s="71">
        <f>K104-L104</f>
        <v/>
      </c>
      <c r="N104" s="71">
        <f>M104*Settings!$B$12</f>
        <v/>
      </c>
      <c r="O104" s="71">
        <f>M104+N104</f>
        <v/>
      </c>
      <c r="Q104" s="71">
        <f>O104-P104</f>
        <v/>
      </c>
      <c r="U104" s="70">
        <f>IF(R104="Paid",0,IF(TODAY()&gt;G104,TODAY()-G104,0))</f>
        <v/>
      </c>
    </row>
    <row r="105" s="11">
      <c r="M105" s="71">
        <f>K105-L105</f>
        <v/>
      </c>
      <c r="N105" s="71">
        <f>M105*Settings!$B$12</f>
        <v/>
      </c>
      <c r="O105" s="71">
        <f>M105+N105</f>
        <v/>
      </c>
      <c r="Q105" s="71">
        <f>O105-P105</f>
        <v/>
      </c>
      <c r="U105" s="70">
        <f>IF(R105="Paid",0,IF(TODAY()&gt;G105,TODAY()-G105,0))</f>
        <v/>
      </c>
    </row>
    <row r="106" s="11">
      <c r="M106" s="71">
        <f>K106-L106</f>
        <v/>
      </c>
      <c r="N106" s="71">
        <f>M106*Settings!$B$12</f>
        <v/>
      </c>
      <c r="O106" s="71">
        <f>M106+N106</f>
        <v/>
      </c>
      <c r="Q106" s="71">
        <f>O106-P106</f>
        <v/>
      </c>
      <c r="U106" s="70">
        <f>IF(R106="Paid",0,IF(TODAY()&gt;G106,TODAY()-G106,0))</f>
        <v/>
      </c>
    </row>
    <row r="107" s="11">
      <c r="M107" s="71">
        <f>K107-L107</f>
        <v/>
      </c>
      <c r="N107" s="71">
        <f>M107*Settings!$B$12</f>
        <v/>
      </c>
      <c r="O107" s="71">
        <f>M107+N107</f>
        <v/>
      </c>
      <c r="Q107" s="71">
        <f>O107-P107</f>
        <v/>
      </c>
      <c r="U107" s="70">
        <f>IF(R107="Paid",0,IF(TODAY()&gt;G107,TODAY()-G107,0))</f>
        <v/>
      </c>
    </row>
    <row r="108" s="11">
      <c r="M108" s="71">
        <f>K108-L108</f>
        <v/>
      </c>
      <c r="N108" s="71">
        <f>M108*Settings!$B$12</f>
        <v/>
      </c>
      <c r="O108" s="71">
        <f>M108+N108</f>
        <v/>
      </c>
      <c r="Q108" s="71">
        <f>O108-P108</f>
        <v/>
      </c>
      <c r="U108" s="70">
        <f>IF(R108="Paid",0,IF(TODAY()&gt;G108,TODAY()-G108,0))</f>
        <v/>
      </c>
    </row>
    <row r="109" s="11">
      <c r="M109" s="71">
        <f>K109-L109</f>
        <v/>
      </c>
      <c r="N109" s="71">
        <f>M109*Settings!$B$12</f>
        <v/>
      </c>
      <c r="O109" s="71">
        <f>M109+N109</f>
        <v/>
      </c>
      <c r="Q109" s="71">
        <f>O109-P109</f>
        <v/>
      </c>
      <c r="U109" s="70">
        <f>IF(R109="Paid",0,IF(TODAY()&gt;G109,TODAY()-G109,0))</f>
        <v/>
      </c>
    </row>
    <row r="110" s="11">
      <c r="M110" s="71">
        <f>K110-L110</f>
        <v/>
      </c>
      <c r="N110" s="71">
        <f>M110*Settings!$B$12</f>
        <v/>
      </c>
      <c r="O110" s="71">
        <f>M110+N110</f>
        <v/>
      </c>
      <c r="Q110" s="71">
        <f>O110-P110</f>
        <v/>
      </c>
      <c r="U110" s="70">
        <f>IF(R110="Paid",0,IF(TODAY()&gt;G110,TODAY()-G110,0))</f>
        <v/>
      </c>
    </row>
    <row r="111" s="11">
      <c r="M111" s="71">
        <f>K111-L111</f>
        <v/>
      </c>
      <c r="N111" s="71">
        <f>M111*Settings!$B$12</f>
        <v/>
      </c>
      <c r="O111" s="71">
        <f>M111+N111</f>
        <v/>
      </c>
      <c r="Q111" s="71">
        <f>O111-P111</f>
        <v/>
      </c>
      <c r="U111" s="70">
        <f>IF(R111="Paid",0,IF(TODAY()&gt;G111,TODAY()-G111,0))</f>
        <v/>
      </c>
    </row>
    <row r="112" s="11">
      <c r="M112" s="71">
        <f>K112-L112</f>
        <v/>
      </c>
      <c r="N112" s="71">
        <f>M112*Settings!$B$12</f>
        <v/>
      </c>
      <c r="O112" s="71">
        <f>M112+N112</f>
        <v/>
      </c>
      <c r="Q112" s="71">
        <f>O112-P112</f>
        <v/>
      </c>
      <c r="U112" s="70">
        <f>IF(R112="Paid",0,IF(TODAY()&gt;G112,TODAY()-G112,0))</f>
        <v/>
      </c>
    </row>
    <row r="113" s="11">
      <c r="M113" s="71">
        <f>K113-L113</f>
        <v/>
      </c>
      <c r="N113" s="71">
        <f>M113*Settings!$B$12</f>
        <v/>
      </c>
      <c r="O113" s="71">
        <f>M113+N113</f>
        <v/>
      </c>
      <c r="Q113" s="71">
        <f>O113-P113</f>
        <v/>
      </c>
      <c r="U113" s="70">
        <f>IF(R113="Paid",0,IF(TODAY()&gt;G113,TODAY()-G113,0))</f>
        <v/>
      </c>
    </row>
    <row r="114" s="11">
      <c r="M114" s="71">
        <f>K114-L114</f>
        <v/>
      </c>
      <c r="N114" s="71">
        <f>M114*Settings!$B$12</f>
        <v/>
      </c>
      <c r="O114" s="71">
        <f>M114+N114</f>
        <v/>
      </c>
      <c r="Q114" s="71">
        <f>O114-P114</f>
        <v/>
      </c>
      <c r="U114" s="70">
        <f>IF(R114="Paid",0,IF(TODAY()&gt;G114,TODAY()-G114,0))</f>
        <v/>
      </c>
    </row>
    <row r="115" s="11">
      <c r="M115" s="71">
        <f>K115-L115</f>
        <v/>
      </c>
      <c r="N115" s="71">
        <f>M115*Settings!$B$12</f>
        <v/>
      </c>
      <c r="O115" s="71">
        <f>M115+N115</f>
        <v/>
      </c>
      <c r="Q115" s="71">
        <f>O115-P115</f>
        <v/>
      </c>
      <c r="U115" s="70">
        <f>IF(R115="Paid",0,IF(TODAY()&gt;G115,TODAY()-G115,0))</f>
        <v/>
      </c>
    </row>
    <row r="116" s="11">
      <c r="M116" s="71">
        <f>K116-L116</f>
        <v/>
      </c>
      <c r="N116" s="71">
        <f>M116*Settings!$B$12</f>
        <v/>
      </c>
      <c r="O116" s="71">
        <f>M116+N116</f>
        <v/>
      </c>
      <c r="Q116" s="71">
        <f>O116-P116</f>
        <v/>
      </c>
      <c r="U116" s="70">
        <f>IF(R116="Paid",0,IF(TODAY()&gt;G116,TODAY()-G116,0))</f>
        <v/>
      </c>
    </row>
    <row r="117" s="11">
      <c r="M117" s="71">
        <f>K117-L117</f>
        <v/>
      </c>
      <c r="N117" s="71">
        <f>M117*Settings!$B$12</f>
        <v/>
      </c>
      <c r="O117" s="71">
        <f>M117+N117</f>
        <v/>
      </c>
      <c r="Q117" s="71">
        <f>O117-P117</f>
        <v/>
      </c>
      <c r="U117" s="70">
        <f>IF(R117="Paid",0,IF(TODAY()&gt;G117,TODAY()-G117,0))</f>
        <v/>
      </c>
    </row>
    <row r="118" s="11">
      <c r="M118" s="71">
        <f>K118-L118</f>
        <v/>
      </c>
      <c r="N118" s="71">
        <f>M118*Settings!$B$12</f>
        <v/>
      </c>
      <c r="O118" s="71">
        <f>M118+N118</f>
        <v/>
      </c>
      <c r="Q118" s="71">
        <f>O118-P118</f>
        <v/>
      </c>
      <c r="U118" s="70">
        <f>IF(R118="Paid",0,IF(TODAY()&gt;G118,TODAY()-G118,0))</f>
        <v/>
      </c>
    </row>
    <row r="119" s="11">
      <c r="M119" s="71">
        <f>K119-L119</f>
        <v/>
      </c>
      <c r="N119" s="71">
        <f>M119*Settings!$B$12</f>
        <v/>
      </c>
      <c r="O119" s="71">
        <f>M119+N119</f>
        <v/>
      </c>
      <c r="Q119" s="71">
        <f>O119-P119</f>
        <v/>
      </c>
      <c r="U119" s="70">
        <f>IF(R119="Paid",0,IF(TODAY()&gt;G119,TODAY()-G119,0))</f>
        <v/>
      </c>
    </row>
    <row r="120" s="11">
      <c r="M120" s="71">
        <f>K120-L120</f>
        <v/>
      </c>
      <c r="N120" s="71">
        <f>M120*Settings!$B$12</f>
        <v/>
      </c>
      <c r="O120" s="71">
        <f>M120+N120</f>
        <v/>
      </c>
      <c r="Q120" s="71">
        <f>O120-P120</f>
        <v/>
      </c>
      <c r="U120" s="70">
        <f>IF(R120="Paid",0,IF(TODAY()&gt;G120,TODAY()-G120,0))</f>
        <v/>
      </c>
    </row>
    <row r="121" s="11">
      <c r="M121" s="71">
        <f>K121-L121</f>
        <v/>
      </c>
      <c r="N121" s="71">
        <f>M121*Settings!$B$12</f>
        <v/>
      </c>
      <c r="O121" s="71">
        <f>M121+N121</f>
        <v/>
      </c>
      <c r="Q121" s="71">
        <f>O121-P121</f>
        <v/>
      </c>
      <c r="U121" s="70">
        <f>IF(R121="Paid",0,IF(TODAY()&gt;G121,TODAY()-G121,0))</f>
        <v/>
      </c>
    </row>
    <row r="122" s="11">
      <c r="M122" s="71">
        <f>K122-L122</f>
        <v/>
      </c>
      <c r="N122" s="71">
        <f>M122*Settings!$B$12</f>
        <v/>
      </c>
      <c r="O122" s="71">
        <f>M122+N122</f>
        <v/>
      </c>
      <c r="Q122" s="71">
        <f>O122-P122</f>
        <v/>
      </c>
      <c r="U122" s="70">
        <f>IF(R122="Paid",0,IF(TODAY()&gt;G122,TODAY()-G122,0))</f>
        <v/>
      </c>
    </row>
    <row r="123" s="11">
      <c r="M123" s="71">
        <f>K123-L123</f>
        <v/>
      </c>
      <c r="N123" s="71">
        <f>M123*Settings!$B$12</f>
        <v/>
      </c>
      <c r="O123" s="71">
        <f>M123+N123</f>
        <v/>
      </c>
      <c r="Q123" s="71">
        <f>O123-P123</f>
        <v/>
      </c>
      <c r="U123" s="70">
        <f>IF(R123="Paid",0,IF(TODAY()&gt;G123,TODAY()-G123,0))</f>
        <v/>
      </c>
    </row>
    <row r="124" s="11">
      <c r="M124" s="71">
        <f>K124-L124</f>
        <v/>
      </c>
      <c r="N124" s="71">
        <f>M124*Settings!$B$12</f>
        <v/>
      </c>
      <c r="O124" s="71">
        <f>M124+N124</f>
        <v/>
      </c>
      <c r="Q124" s="71">
        <f>O124-P124</f>
        <v/>
      </c>
      <c r="U124" s="70">
        <f>IF(R124="Paid",0,IF(TODAY()&gt;G124,TODAY()-G124,0))</f>
        <v/>
      </c>
    </row>
    <row r="125" s="11">
      <c r="M125" s="71">
        <f>K125-L125</f>
        <v/>
      </c>
      <c r="N125" s="71">
        <f>M125*Settings!$B$12</f>
        <v/>
      </c>
      <c r="O125" s="71">
        <f>M125+N125</f>
        <v/>
      </c>
      <c r="Q125" s="71">
        <f>O125-P125</f>
        <v/>
      </c>
      <c r="U125" s="70">
        <f>IF(R125="Paid",0,IF(TODAY()&gt;G125,TODAY()-G125,0))</f>
        <v/>
      </c>
    </row>
    <row r="126" s="11">
      <c r="M126" s="71">
        <f>K126-L126</f>
        <v/>
      </c>
      <c r="N126" s="71">
        <f>M126*Settings!$B$12</f>
        <v/>
      </c>
      <c r="O126" s="71">
        <f>M126+N126</f>
        <v/>
      </c>
      <c r="Q126" s="71">
        <f>O126-P126</f>
        <v/>
      </c>
      <c r="U126" s="70">
        <f>IF(R126="Paid",0,IF(TODAY()&gt;G126,TODAY()-G126,0))</f>
        <v/>
      </c>
    </row>
    <row r="127" s="11">
      <c r="M127" s="71">
        <f>K127-L127</f>
        <v/>
      </c>
      <c r="N127" s="71">
        <f>M127*Settings!$B$12</f>
        <v/>
      </c>
      <c r="O127" s="71">
        <f>M127+N127</f>
        <v/>
      </c>
      <c r="Q127" s="71">
        <f>O127-P127</f>
        <v/>
      </c>
      <c r="U127" s="70">
        <f>IF(R127="Paid",0,IF(TODAY()&gt;G127,TODAY()-G127,0))</f>
        <v/>
      </c>
    </row>
    <row r="128" s="11">
      <c r="M128" s="71">
        <f>K128-L128</f>
        <v/>
      </c>
      <c r="N128" s="71">
        <f>M128*Settings!$B$12</f>
        <v/>
      </c>
      <c r="O128" s="71">
        <f>M128+N128</f>
        <v/>
      </c>
      <c r="Q128" s="71">
        <f>O128-P128</f>
        <v/>
      </c>
      <c r="U128" s="70">
        <f>IF(R128="Paid",0,IF(TODAY()&gt;G128,TODAY()-G128,0))</f>
        <v/>
      </c>
    </row>
    <row r="129" s="11">
      <c r="M129" s="71">
        <f>K129-L129</f>
        <v/>
      </c>
      <c r="N129" s="71">
        <f>M129*Settings!$B$12</f>
        <v/>
      </c>
      <c r="O129" s="71">
        <f>M129+N129</f>
        <v/>
      </c>
      <c r="Q129" s="71">
        <f>O129-P129</f>
        <v/>
      </c>
      <c r="U129" s="70">
        <f>IF(R129="Paid",0,IF(TODAY()&gt;G129,TODAY()-G129,0))</f>
        <v/>
      </c>
    </row>
    <row r="130" s="11">
      <c r="M130" s="71">
        <f>K130-L130</f>
        <v/>
      </c>
      <c r="N130" s="71">
        <f>M130*Settings!$B$12</f>
        <v/>
      </c>
      <c r="O130" s="71">
        <f>M130+N130</f>
        <v/>
      </c>
      <c r="Q130" s="71">
        <f>O130-P130</f>
        <v/>
      </c>
      <c r="U130" s="70">
        <f>IF(R130="Paid",0,IF(TODAY()&gt;G130,TODAY()-G130,0))</f>
        <v/>
      </c>
    </row>
    <row r="131" s="11">
      <c r="M131" s="71">
        <f>K131-L131</f>
        <v/>
      </c>
      <c r="N131" s="71">
        <f>M131*Settings!$B$12</f>
        <v/>
      </c>
      <c r="O131" s="71">
        <f>M131+N131</f>
        <v/>
      </c>
      <c r="Q131" s="71">
        <f>O131-P131</f>
        <v/>
      </c>
      <c r="U131" s="70">
        <f>IF(R131="Paid",0,IF(TODAY()&gt;G131,TODAY()-G131,0))</f>
        <v/>
      </c>
    </row>
    <row r="132" s="11">
      <c r="M132" s="71">
        <f>K132-L132</f>
        <v/>
      </c>
      <c r="N132" s="71">
        <f>M132*Settings!$B$12</f>
        <v/>
      </c>
      <c r="O132" s="71">
        <f>M132+N132</f>
        <v/>
      </c>
      <c r="Q132" s="71">
        <f>O132-P132</f>
        <v/>
      </c>
      <c r="U132" s="70">
        <f>IF(R132="Paid",0,IF(TODAY()&gt;G132,TODAY()-G132,0))</f>
        <v/>
      </c>
    </row>
    <row r="133" s="11">
      <c r="M133" s="71">
        <f>K133-L133</f>
        <v/>
      </c>
      <c r="N133" s="71">
        <f>M133*Settings!$B$12</f>
        <v/>
      </c>
      <c r="O133" s="71">
        <f>M133+N133</f>
        <v/>
      </c>
      <c r="Q133" s="71">
        <f>O133-P133</f>
        <v/>
      </c>
      <c r="U133" s="70">
        <f>IF(R133="Paid",0,IF(TODAY()&gt;G133,TODAY()-G133,0))</f>
        <v/>
      </c>
    </row>
    <row r="134" s="11">
      <c r="M134" s="71">
        <f>K134-L134</f>
        <v/>
      </c>
      <c r="N134" s="71">
        <f>M134*Settings!$B$12</f>
        <v/>
      </c>
      <c r="O134" s="71">
        <f>M134+N134</f>
        <v/>
      </c>
      <c r="Q134" s="71">
        <f>O134-P134</f>
        <v/>
      </c>
      <c r="U134" s="70">
        <f>IF(R134="Paid",0,IF(TODAY()&gt;G134,TODAY()-G134,0))</f>
        <v/>
      </c>
    </row>
    <row r="135" s="11">
      <c r="M135" s="71">
        <f>K135-L135</f>
        <v/>
      </c>
      <c r="N135" s="71">
        <f>M135*Settings!$B$12</f>
        <v/>
      </c>
      <c r="O135" s="71">
        <f>M135+N135</f>
        <v/>
      </c>
      <c r="Q135" s="71">
        <f>O135-P135</f>
        <v/>
      </c>
      <c r="U135" s="70">
        <f>IF(R135="Paid",0,IF(TODAY()&gt;G135,TODAY()-G135,0))</f>
        <v/>
      </c>
    </row>
    <row r="136" s="11">
      <c r="M136" s="71">
        <f>K136-L136</f>
        <v/>
      </c>
      <c r="N136" s="71">
        <f>M136*Settings!$B$12</f>
        <v/>
      </c>
      <c r="O136" s="71">
        <f>M136+N136</f>
        <v/>
      </c>
      <c r="Q136" s="71">
        <f>O136-P136</f>
        <v/>
      </c>
      <c r="U136" s="70">
        <f>IF(R136="Paid",0,IF(TODAY()&gt;G136,TODAY()-G136,0))</f>
        <v/>
      </c>
    </row>
    <row r="137" s="11">
      <c r="M137" s="71">
        <f>K137-L137</f>
        <v/>
      </c>
      <c r="N137" s="71">
        <f>M137*Settings!$B$12</f>
        <v/>
      </c>
      <c r="O137" s="71">
        <f>M137+N137</f>
        <v/>
      </c>
      <c r="Q137" s="71">
        <f>O137-P137</f>
        <v/>
      </c>
      <c r="U137" s="70">
        <f>IF(R137="Paid",0,IF(TODAY()&gt;G137,TODAY()-G137,0))</f>
        <v/>
      </c>
    </row>
    <row r="138" s="11">
      <c r="M138" s="71">
        <f>K138-L138</f>
        <v/>
      </c>
      <c r="N138" s="71">
        <f>M138*Settings!$B$12</f>
        <v/>
      </c>
      <c r="O138" s="71">
        <f>M138+N138</f>
        <v/>
      </c>
      <c r="Q138" s="71">
        <f>O138-P138</f>
        <v/>
      </c>
      <c r="U138" s="70">
        <f>IF(R138="Paid",0,IF(TODAY()&gt;G138,TODAY()-G138,0))</f>
        <v/>
      </c>
    </row>
    <row r="139" s="11">
      <c r="M139" s="71">
        <f>K139-L139</f>
        <v/>
      </c>
      <c r="N139" s="71">
        <f>M139*Settings!$B$12</f>
        <v/>
      </c>
      <c r="O139" s="71">
        <f>M139+N139</f>
        <v/>
      </c>
      <c r="Q139" s="71">
        <f>O139-P139</f>
        <v/>
      </c>
      <c r="U139" s="70">
        <f>IF(R139="Paid",0,IF(TODAY()&gt;G139,TODAY()-G139,0))</f>
        <v/>
      </c>
    </row>
    <row r="140" s="11">
      <c r="M140" s="71">
        <f>K140-L140</f>
        <v/>
      </c>
      <c r="N140" s="71">
        <f>M140*Settings!$B$12</f>
        <v/>
      </c>
      <c r="O140" s="71">
        <f>M140+N140</f>
        <v/>
      </c>
      <c r="Q140" s="71">
        <f>O140-P140</f>
        <v/>
      </c>
      <c r="U140" s="70">
        <f>IF(R140="Paid",0,IF(TODAY()&gt;G140,TODAY()-G140,0))</f>
        <v/>
      </c>
    </row>
    <row r="141" s="11">
      <c r="M141" s="71">
        <f>K141-L141</f>
        <v/>
      </c>
      <c r="N141" s="71">
        <f>M141*Settings!$B$12</f>
        <v/>
      </c>
      <c r="O141" s="71">
        <f>M141+N141</f>
        <v/>
      </c>
      <c r="Q141" s="71">
        <f>O141-P141</f>
        <v/>
      </c>
      <c r="U141" s="70">
        <f>IF(R141="Paid",0,IF(TODAY()&gt;G141,TODAY()-G141,0))</f>
        <v/>
      </c>
    </row>
    <row r="142" s="11">
      <c r="M142" s="71">
        <f>K142-L142</f>
        <v/>
      </c>
      <c r="N142" s="71">
        <f>M142*Settings!$B$12</f>
        <v/>
      </c>
      <c r="O142" s="71">
        <f>M142+N142</f>
        <v/>
      </c>
      <c r="Q142" s="71">
        <f>O142-P142</f>
        <v/>
      </c>
      <c r="U142" s="70">
        <f>IF(R142="Paid",0,IF(TODAY()&gt;G142,TODAY()-G142,0))</f>
        <v/>
      </c>
    </row>
    <row r="143" s="11">
      <c r="M143" s="71">
        <f>K143-L143</f>
        <v/>
      </c>
      <c r="N143" s="71">
        <f>M143*Settings!$B$12</f>
        <v/>
      </c>
      <c r="O143" s="71">
        <f>M143+N143</f>
        <v/>
      </c>
      <c r="Q143" s="71">
        <f>O143-P143</f>
        <v/>
      </c>
      <c r="U143" s="70">
        <f>IF(R143="Paid",0,IF(TODAY()&gt;G143,TODAY()-G143,0))</f>
        <v/>
      </c>
    </row>
    <row r="144" s="11">
      <c r="M144" s="71">
        <f>K144-L144</f>
        <v/>
      </c>
      <c r="N144" s="71">
        <f>M144*Settings!$B$12</f>
        <v/>
      </c>
      <c r="O144" s="71">
        <f>M144+N144</f>
        <v/>
      </c>
      <c r="Q144" s="71">
        <f>O144-P144</f>
        <v/>
      </c>
      <c r="U144" s="70">
        <f>IF(R144="Paid",0,IF(TODAY()&gt;G144,TODAY()-G144,0))</f>
        <v/>
      </c>
    </row>
    <row r="145" s="11">
      <c r="M145" s="71">
        <f>K145-L145</f>
        <v/>
      </c>
      <c r="N145" s="71">
        <f>M145*Settings!$B$12</f>
        <v/>
      </c>
      <c r="O145" s="71">
        <f>M145+N145</f>
        <v/>
      </c>
      <c r="Q145" s="71">
        <f>O145-P145</f>
        <v/>
      </c>
      <c r="U145" s="70">
        <f>IF(R145="Paid",0,IF(TODAY()&gt;G145,TODAY()-G145,0))</f>
        <v/>
      </c>
    </row>
    <row r="146" s="11">
      <c r="M146" s="71">
        <f>K146-L146</f>
        <v/>
      </c>
      <c r="N146" s="71">
        <f>M146*Settings!$B$12</f>
        <v/>
      </c>
      <c r="O146" s="71">
        <f>M146+N146</f>
        <v/>
      </c>
      <c r="Q146" s="71">
        <f>O146-P146</f>
        <v/>
      </c>
      <c r="U146" s="70">
        <f>IF(R146="Paid",0,IF(TODAY()&gt;G146,TODAY()-G146,0))</f>
        <v/>
      </c>
    </row>
    <row r="147" s="11">
      <c r="M147" s="71">
        <f>K147-L147</f>
        <v/>
      </c>
      <c r="N147" s="71">
        <f>M147*Settings!$B$12</f>
        <v/>
      </c>
      <c r="O147" s="71">
        <f>M147+N147</f>
        <v/>
      </c>
      <c r="Q147" s="71">
        <f>O147-P147</f>
        <v/>
      </c>
      <c r="U147" s="70">
        <f>IF(R147="Paid",0,IF(TODAY()&gt;G147,TODAY()-G147,0))</f>
        <v/>
      </c>
    </row>
    <row r="148" s="11">
      <c r="M148" s="71">
        <f>K148-L148</f>
        <v/>
      </c>
      <c r="N148" s="71">
        <f>M148*Settings!$B$12</f>
        <v/>
      </c>
      <c r="O148" s="71">
        <f>M148+N148</f>
        <v/>
      </c>
      <c r="Q148" s="71">
        <f>O148-P148</f>
        <v/>
      </c>
      <c r="U148" s="70">
        <f>IF(R148="Paid",0,IF(TODAY()&gt;G148,TODAY()-G148,0))</f>
        <v/>
      </c>
    </row>
    <row r="149" s="11">
      <c r="M149" s="71">
        <f>K149-L149</f>
        <v/>
      </c>
      <c r="N149" s="71">
        <f>M149*Settings!$B$12</f>
        <v/>
      </c>
      <c r="O149" s="71">
        <f>M149+N149</f>
        <v/>
      </c>
      <c r="Q149" s="71">
        <f>O149-P149</f>
        <v/>
      </c>
      <c r="U149" s="70">
        <f>IF(R149="Paid",0,IF(TODAY()&gt;G149,TODAY()-G149,0))</f>
        <v/>
      </c>
    </row>
    <row r="150" s="11">
      <c r="M150" s="71">
        <f>K150-L150</f>
        <v/>
      </c>
      <c r="N150" s="71">
        <f>M150*Settings!$B$12</f>
        <v/>
      </c>
      <c r="O150" s="71">
        <f>M150+N150</f>
        <v/>
      </c>
      <c r="Q150" s="71">
        <f>O150-P150</f>
        <v/>
      </c>
      <c r="U150" s="70">
        <f>IF(R150="Paid",0,IF(TODAY()&gt;G150,TODAY()-G150,0))</f>
        <v/>
      </c>
    </row>
    <row r="151" s="11">
      <c r="M151" s="71">
        <f>K151-L151</f>
        <v/>
      </c>
      <c r="N151" s="71">
        <f>M151*Settings!$B$12</f>
        <v/>
      </c>
      <c r="O151" s="71">
        <f>M151+N151</f>
        <v/>
      </c>
      <c r="Q151" s="71">
        <f>O151-P151</f>
        <v/>
      </c>
      <c r="U151" s="70">
        <f>IF(R151="Paid",0,IF(TODAY()&gt;G151,TODAY()-G151,0))</f>
        <v/>
      </c>
    </row>
    <row r="152" s="11">
      <c r="M152" s="71">
        <f>K152-L152</f>
        <v/>
      </c>
      <c r="N152" s="71">
        <f>M152*Settings!$B$12</f>
        <v/>
      </c>
      <c r="O152" s="71">
        <f>M152+N152</f>
        <v/>
      </c>
      <c r="Q152" s="71">
        <f>O152-P152</f>
        <v/>
      </c>
      <c r="U152" s="70">
        <f>IF(R152="Paid",0,IF(TODAY()&gt;G152,TODAY()-G152,0))</f>
        <v/>
      </c>
    </row>
    <row r="153" s="11">
      <c r="M153" s="71">
        <f>K153-L153</f>
        <v/>
      </c>
      <c r="N153" s="71">
        <f>M153*Settings!$B$12</f>
        <v/>
      </c>
      <c r="O153" s="71">
        <f>M153+N153</f>
        <v/>
      </c>
      <c r="Q153" s="71">
        <f>O153-P153</f>
        <v/>
      </c>
      <c r="U153" s="70">
        <f>IF(R153="Paid",0,IF(TODAY()&gt;G153,TODAY()-G153,0))</f>
        <v/>
      </c>
    </row>
    <row r="154" s="11">
      <c r="M154" s="71">
        <f>K154-L154</f>
        <v/>
      </c>
      <c r="N154" s="71">
        <f>M154*Settings!$B$12</f>
        <v/>
      </c>
      <c r="O154" s="71">
        <f>M154+N154</f>
        <v/>
      </c>
      <c r="Q154" s="71">
        <f>O154-P154</f>
        <v/>
      </c>
      <c r="U154" s="70">
        <f>IF(R154="Paid",0,IF(TODAY()&gt;G154,TODAY()-G154,0))</f>
        <v/>
      </c>
    </row>
    <row r="155" s="11">
      <c r="M155" s="71">
        <f>K155-L155</f>
        <v/>
      </c>
      <c r="N155" s="71">
        <f>M155*Settings!$B$12</f>
        <v/>
      </c>
      <c r="O155" s="71">
        <f>M155+N155</f>
        <v/>
      </c>
      <c r="Q155" s="71">
        <f>O155-P155</f>
        <v/>
      </c>
      <c r="U155" s="70">
        <f>IF(R155="Paid",0,IF(TODAY()&gt;G155,TODAY()-G155,0))</f>
        <v/>
      </c>
    </row>
    <row r="156" s="11">
      <c r="M156" s="71">
        <f>K156-L156</f>
        <v/>
      </c>
      <c r="N156" s="71">
        <f>M156*Settings!$B$12</f>
        <v/>
      </c>
      <c r="O156" s="71">
        <f>M156+N156</f>
        <v/>
      </c>
      <c r="Q156" s="71">
        <f>O156-P156</f>
        <v/>
      </c>
      <c r="U156" s="70">
        <f>IF(R156="Paid",0,IF(TODAY()&gt;G156,TODAY()-G156,0))</f>
        <v/>
      </c>
    </row>
    <row r="157" s="11">
      <c r="M157" s="71">
        <f>K157-L157</f>
        <v/>
      </c>
      <c r="N157" s="71">
        <f>M157*Settings!$B$12</f>
        <v/>
      </c>
      <c r="O157" s="71">
        <f>M157+N157</f>
        <v/>
      </c>
      <c r="Q157" s="71">
        <f>O157-P157</f>
        <v/>
      </c>
      <c r="U157" s="70">
        <f>IF(R157="Paid",0,IF(TODAY()&gt;G157,TODAY()-G157,0))</f>
        <v/>
      </c>
    </row>
    <row r="158" s="11">
      <c r="M158" s="71">
        <f>K158-L158</f>
        <v/>
      </c>
      <c r="N158" s="71">
        <f>M158*Settings!$B$12</f>
        <v/>
      </c>
      <c r="O158" s="71">
        <f>M158+N158</f>
        <v/>
      </c>
      <c r="Q158" s="71">
        <f>O158-P158</f>
        <v/>
      </c>
      <c r="U158" s="70">
        <f>IF(R158="Paid",0,IF(TODAY()&gt;G158,TODAY()-G158,0))</f>
        <v/>
      </c>
    </row>
    <row r="159" s="11">
      <c r="M159" s="71">
        <f>K159-L159</f>
        <v/>
      </c>
      <c r="N159" s="71">
        <f>M159*Settings!$B$12</f>
        <v/>
      </c>
      <c r="O159" s="71">
        <f>M159+N159</f>
        <v/>
      </c>
      <c r="Q159" s="71">
        <f>O159-P159</f>
        <v/>
      </c>
      <c r="U159" s="70">
        <f>IF(R159="Paid",0,IF(TODAY()&gt;G159,TODAY()-G159,0))</f>
        <v/>
      </c>
    </row>
    <row r="160" s="11">
      <c r="M160" s="71">
        <f>K160-L160</f>
        <v/>
      </c>
      <c r="N160" s="71">
        <f>M160*Settings!$B$12</f>
        <v/>
      </c>
      <c r="O160" s="71">
        <f>M160+N160</f>
        <v/>
      </c>
      <c r="Q160" s="71">
        <f>O160-P160</f>
        <v/>
      </c>
      <c r="U160" s="70">
        <f>IF(R160="Paid",0,IF(TODAY()&gt;G160,TODAY()-G160,0))</f>
        <v/>
      </c>
    </row>
    <row r="161" s="11">
      <c r="M161" s="71">
        <f>K161-L161</f>
        <v/>
      </c>
      <c r="N161" s="71">
        <f>M161*Settings!$B$12</f>
        <v/>
      </c>
      <c r="O161" s="71">
        <f>M161+N161</f>
        <v/>
      </c>
      <c r="Q161" s="71">
        <f>O161-P161</f>
        <v/>
      </c>
      <c r="U161" s="70">
        <f>IF(R161="Paid",0,IF(TODAY()&gt;G161,TODAY()-G161,0))</f>
        <v/>
      </c>
    </row>
    <row r="162" s="11">
      <c r="M162" s="71">
        <f>K162-L162</f>
        <v/>
      </c>
      <c r="N162" s="71">
        <f>M162*Settings!$B$12</f>
        <v/>
      </c>
      <c r="O162" s="71">
        <f>M162+N162</f>
        <v/>
      </c>
      <c r="Q162" s="71">
        <f>O162-P162</f>
        <v/>
      </c>
      <c r="U162" s="70">
        <f>IF(R162="Paid",0,IF(TODAY()&gt;G162,TODAY()-G162,0))</f>
        <v/>
      </c>
    </row>
    <row r="163" s="11">
      <c r="M163" s="71">
        <f>K163-L163</f>
        <v/>
      </c>
      <c r="N163" s="71">
        <f>M163*Settings!$B$12</f>
        <v/>
      </c>
      <c r="O163" s="71">
        <f>M163+N163</f>
        <v/>
      </c>
      <c r="Q163" s="71">
        <f>O163-P163</f>
        <v/>
      </c>
      <c r="U163" s="70">
        <f>IF(R163="Paid",0,IF(TODAY()&gt;G163,TODAY()-G163,0))</f>
        <v/>
      </c>
    </row>
    <row r="164" s="11">
      <c r="M164" s="71">
        <f>K164-L164</f>
        <v/>
      </c>
      <c r="N164" s="71">
        <f>M164*Settings!$B$12</f>
        <v/>
      </c>
      <c r="O164" s="71">
        <f>M164+N164</f>
        <v/>
      </c>
      <c r="Q164" s="71">
        <f>O164-P164</f>
        <v/>
      </c>
      <c r="U164" s="70">
        <f>IF(R164="Paid",0,IF(TODAY()&gt;G164,TODAY()-G164,0))</f>
        <v/>
      </c>
    </row>
    <row r="165" s="11">
      <c r="M165" s="71">
        <f>K165-L165</f>
        <v/>
      </c>
      <c r="N165" s="71">
        <f>M165*Settings!$B$12</f>
        <v/>
      </c>
      <c r="O165" s="71">
        <f>M165+N165</f>
        <v/>
      </c>
      <c r="Q165" s="71">
        <f>O165-P165</f>
        <v/>
      </c>
      <c r="U165" s="70">
        <f>IF(R165="Paid",0,IF(TODAY()&gt;G165,TODAY()-G165,0))</f>
        <v/>
      </c>
    </row>
    <row r="166" s="11">
      <c r="M166" s="71">
        <f>K166-L166</f>
        <v/>
      </c>
      <c r="N166" s="71">
        <f>M166*Settings!$B$12</f>
        <v/>
      </c>
      <c r="O166" s="71">
        <f>M166+N166</f>
        <v/>
      </c>
      <c r="Q166" s="71">
        <f>O166-P166</f>
        <v/>
      </c>
      <c r="U166" s="70">
        <f>IF(R166="Paid",0,IF(TODAY()&gt;G166,TODAY()-G166,0))</f>
        <v/>
      </c>
    </row>
    <row r="167" s="11">
      <c r="M167" s="71">
        <f>K167-L167</f>
        <v/>
      </c>
      <c r="N167" s="71">
        <f>M167*Settings!$B$12</f>
        <v/>
      </c>
      <c r="O167" s="71">
        <f>M167+N167</f>
        <v/>
      </c>
      <c r="Q167" s="71">
        <f>O167-P167</f>
        <v/>
      </c>
      <c r="U167" s="70">
        <f>IF(R167="Paid",0,IF(TODAY()&gt;G167,TODAY()-G167,0))</f>
        <v/>
      </c>
    </row>
    <row r="168" s="11">
      <c r="M168" s="71">
        <f>K168-L168</f>
        <v/>
      </c>
      <c r="N168" s="71">
        <f>M168*Settings!$B$12</f>
        <v/>
      </c>
      <c r="O168" s="71">
        <f>M168+N168</f>
        <v/>
      </c>
      <c r="Q168" s="71">
        <f>O168-P168</f>
        <v/>
      </c>
      <c r="U168" s="70">
        <f>IF(R168="Paid",0,IF(TODAY()&gt;G168,TODAY()-G168,0))</f>
        <v/>
      </c>
    </row>
    <row r="169" s="11">
      <c r="M169" s="71">
        <f>K169-L169</f>
        <v/>
      </c>
      <c r="N169" s="71">
        <f>M169*Settings!$B$12</f>
        <v/>
      </c>
      <c r="O169" s="71">
        <f>M169+N169</f>
        <v/>
      </c>
      <c r="Q169" s="71">
        <f>O169-P169</f>
        <v/>
      </c>
      <c r="U169" s="70">
        <f>IF(R169="Paid",0,IF(TODAY()&gt;G169,TODAY()-G169,0))</f>
        <v/>
      </c>
    </row>
    <row r="170" s="11">
      <c r="M170" s="71">
        <f>K170-L170</f>
        <v/>
      </c>
      <c r="N170" s="71">
        <f>M170*Settings!$B$12</f>
        <v/>
      </c>
      <c r="O170" s="71">
        <f>M170+N170</f>
        <v/>
      </c>
      <c r="Q170" s="71">
        <f>O170-P170</f>
        <v/>
      </c>
      <c r="U170" s="70">
        <f>IF(R170="Paid",0,IF(TODAY()&gt;G170,TODAY()-G170,0))</f>
        <v/>
      </c>
    </row>
    <row r="171" s="11">
      <c r="M171" s="71">
        <f>K171-L171</f>
        <v/>
      </c>
      <c r="N171" s="71">
        <f>M171*Settings!$B$12</f>
        <v/>
      </c>
      <c r="O171" s="71">
        <f>M171+N171</f>
        <v/>
      </c>
      <c r="Q171" s="71">
        <f>O171-P171</f>
        <v/>
      </c>
      <c r="U171" s="70">
        <f>IF(R171="Paid",0,IF(TODAY()&gt;G171,TODAY()-G171,0))</f>
        <v/>
      </c>
    </row>
    <row r="172" s="11">
      <c r="M172" s="71">
        <f>K172-L172</f>
        <v/>
      </c>
      <c r="N172" s="71">
        <f>M172*Settings!$B$12</f>
        <v/>
      </c>
      <c r="O172" s="71">
        <f>M172+N172</f>
        <v/>
      </c>
      <c r="Q172" s="71">
        <f>O172-P172</f>
        <v/>
      </c>
      <c r="U172" s="70">
        <f>IF(R172="Paid",0,IF(TODAY()&gt;G172,TODAY()-G172,0))</f>
        <v/>
      </c>
    </row>
    <row r="173" s="11">
      <c r="M173" s="71">
        <f>K173-L173</f>
        <v/>
      </c>
      <c r="N173" s="71">
        <f>M173*Settings!$B$12</f>
        <v/>
      </c>
      <c r="O173" s="71">
        <f>M173+N173</f>
        <v/>
      </c>
      <c r="Q173" s="71">
        <f>O173-P173</f>
        <v/>
      </c>
      <c r="U173" s="70">
        <f>IF(R173="Paid",0,IF(TODAY()&gt;G173,TODAY()-G173,0))</f>
        <v/>
      </c>
    </row>
    <row r="174" s="11">
      <c r="M174" s="71">
        <f>K174-L174</f>
        <v/>
      </c>
      <c r="N174" s="71">
        <f>M174*Settings!$B$12</f>
        <v/>
      </c>
      <c r="O174" s="71">
        <f>M174+N174</f>
        <v/>
      </c>
      <c r="Q174" s="71">
        <f>O174-P174</f>
        <v/>
      </c>
      <c r="U174" s="70">
        <f>IF(R174="Paid",0,IF(TODAY()&gt;G174,TODAY()-G174,0))</f>
        <v/>
      </c>
    </row>
    <row r="175" s="11">
      <c r="M175" s="71">
        <f>K175-L175</f>
        <v/>
      </c>
      <c r="N175" s="71">
        <f>M175*Settings!$B$12</f>
        <v/>
      </c>
      <c r="O175" s="71">
        <f>M175+N175</f>
        <v/>
      </c>
      <c r="Q175" s="71">
        <f>O175-P175</f>
        <v/>
      </c>
      <c r="U175" s="70">
        <f>IF(R175="Paid",0,IF(TODAY()&gt;G175,TODAY()-G175,0))</f>
        <v/>
      </c>
    </row>
    <row r="176" s="11">
      <c r="M176" s="71">
        <f>K176-L176</f>
        <v/>
      </c>
      <c r="N176" s="71">
        <f>M176*Settings!$B$12</f>
        <v/>
      </c>
      <c r="O176" s="71">
        <f>M176+N176</f>
        <v/>
      </c>
      <c r="Q176" s="71">
        <f>O176-P176</f>
        <v/>
      </c>
      <c r="U176" s="70">
        <f>IF(R176="Paid",0,IF(TODAY()&gt;G176,TODAY()-G176,0))</f>
        <v/>
      </c>
    </row>
    <row r="177" s="11">
      <c r="M177" s="71">
        <f>K177-L177</f>
        <v/>
      </c>
      <c r="N177" s="71">
        <f>M177*Settings!$B$12</f>
        <v/>
      </c>
      <c r="O177" s="71">
        <f>M177+N177</f>
        <v/>
      </c>
      <c r="Q177" s="71">
        <f>O177-P177</f>
        <v/>
      </c>
      <c r="U177" s="70">
        <f>IF(R177="Paid",0,IF(TODAY()&gt;G177,TODAY()-G177,0))</f>
        <v/>
      </c>
    </row>
    <row r="178" s="11">
      <c r="M178" s="71">
        <f>K178-L178</f>
        <v/>
      </c>
      <c r="N178" s="71">
        <f>M178*Settings!$B$12</f>
        <v/>
      </c>
      <c r="O178" s="71">
        <f>M178+N178</f>
        <v/>
      </c>
      <c r="Q178" s="71">
        <f>O178-P178</f>
        <v/>
      </c>
      <c r="U178" s="70">
        <f>IF(R178="Paid",0,IF(TODAY()&gt;G178,TODAY()-G178,0))</f>
        <v/>
      </c>
    </row>
    <row r="179" s="11">
      <c r="M179" s="71">
        <f>K179-L179</f>
        <v/>
      </c>
      <c r="N179" s="71">
        <f>M179*Settings!$B$12</f>
        <v/>
      </c>
      <c r="O179" s="71">
        <f>M179+N179</f>
        <v/>
      </c>
      <c r="Q179" s="71">
        <f>O179-P179</f>
        <v/>
      </c>
      <c r="U179" s="70">
        <f>IF(R179="Paid",0,IF(TODAY()&gt;G179,TODAY()-G179,0))</f>
        <v/>
      </c>
    </row>
    <row r="180" s="11">
      <c r="M180" s="71">
        <f>K180-L180</f>
        <v/>
      </c>
      <c r="N180" s="71">
        <f>M180*Settings!$B$12</f>
        <v/>
      </c>
      <c r="O180" s="71">
        <f>M180+N180</f>
        <v/>
      </c>
      <c r="Q180" s="71">
        <f>O180-P180</f>
        <v/>
      </c>
      <c r="U180" s="70">
        <f>IF(R180="Paid",0,IF(TODAY()&gt;G180,TODAY()-G180,0))</f>
        <v/>
      </c>
    </row>
    <row r="181" s="11">
      <c r="M181" s="71">
        <f>K181-L181</f>
        <v/>
      </c>
      <c r="N181" s="71">
        <f>M181*Settings!$B$12</f>
        <v/>
      </c>
      <c r="O181" s="71">
        <f>M181+N181</f>
        <v/>
      </c>
      <c r="Q181" s="71">
        <f>O181-P181</f>
        <v/>
      </c>
      <c r="U181" s="70">
        <f>IF(R181="Paid",0,IF(TODAY()&gt;G181,TODAY()-G181,0))</f>
        <v/>
      </c>
    </row>
    <row r="182" s="11">
      <c r="M182" s="71">
        <f>K182-L182</f>
        <v/>
      </c>
      <c r="N182" s="71">
        <f>M182*Settings!$B$12</f>
        <v/>
      </c>
      <c r="O182" s="71">
        <f>M182+N182</f>
        <v/>
      </c>
      <c r="Q182" s="71">
        <f>O182-P182</f>
        <v/>
      </c>
      <c r="U182" s="70">
        <f>IF(R182="Paid",0,IF(TODAY()&gt;G182,TODAY()-G182,0))</f>
        <v/>
      </c>
    </row>
    <row r="183" s="11">
      <c r="M183" s="71">
        <f>K183-L183</f>
        <v/>
      </c>
      <c r="N183" s="71">
        <f>M183*Settings!$B$12</f>
        <v/>
      </c>
      <c r="O183" s="71">
        <f>M183+N183</f>
        <v/>
      </c>
      <c r="Q183" s="71">
        <f>O183-P183</f>
        <v/>
      </c>
      <c r="U183" s="70">
        <f>IF(R183="Paid",0,IF(TODAY()&gt;G183,TODAY()-G183,0))</f>
        <v/>
      </c>
    </row>
    <row r="184" s="11">
      <c r="M184" s="71">
        <f>K184-L184</f>
        <v/>
      </c>
      <c r="N184" s="71">
        <f>M184*Settings!$B$12</f>
        <v/>
      </c>
      <c r="O184" s="71">
        <f>M184+N184</f>
        <v/>
      </c>
      <c r="Q184" s="71">
        <f>O184-P184</f>
        <v/>
      </c>
      <c r="U184" s="70">
        <f>IF(R184="Paid",0,IF(TODAY()&gt;G184,TODAY()-G184,0))</f>
        <v/>
      </c>
    </row>
    <row r="185" s="11">
      <c r="M185" s="71">
        <f>K185-L185</f>
        <v/>
      </c>
      <c r="N185" s="71">
        <f>M185*Settings!$B$12</f>
        <v/>
      </c>
      <c r="O185" s="71">
        <f>M185+N185</f>
        <v/>
      </c>
      <c r="Q185" s="71">
        <f>O185-P185</f>
        <v/>
      </c>
      <c r="U185" s="70">
        <f>IF(R185="Paid",0,IF(TODAY()&gt;G185,TODAY()-G185,0))</f>
        <v/>
      </c>
    </row>
    <row r="186" s="11">
      <c r="M186" s="71">
        <f>K186-L186</f>
        <v/>
      </c>
      <c r="N186" s="71">
        <f>M186*Settings!$B$12</f>
        <v/>
      </c>
      <c r="O186" s="71">
        <f>M186+N186</f>
        <v/>
      </c>
      <c r="Q186" s="71">
        <f>O186-P186</f>
        <v/>
      </c>
      <c r="U186" s="70">
        <f>IF(R186="Paid",0,IF(TODAY()&gt;G186,TODAY()-G186,0))</f>
        <v/>
      </c>
    </row>
    <row r="187" s="11">
      <c r="M187" s="71">
        <f>K187-L187</f>
        <v/>
      </c>
      <c r="N187" s="71">
        <f>M187*Settings!$B$12</f>
        <v/>
      </c>
      <c r="O187" s="71">
        <f>M187+N187</f>
        <v/>
      </c>
      <c r="Q187" s="71">
        <f>O187-P187</f>
        <v/>
      </c>
      <c r="U187" s="70">
        <f>IF(R187="Paid",0,IF(TODAY()&gt;G187,TODAY()-G187,0))</f>
        <v/>
      </c>
    </row>
    <row r="188" s="11">
      <c r="M188" s="71">
        <f>K188-L188</f>
        <v/>
      </c>
      <c r="N188" s="71">
        <f>M188*Settings!$B$12</f>
        <v/>
      </c>
      <c r="O188" s="71">
        <f>M188+N188</f>
        <v/>
      </c>
      <c r="Q188" s="71">
        <f>O188-P188</f>
        <v/>
      </c>
      <c r="U188" s="70">
        <f>IF(R188="Paid",0,IF(TODAY()&gt;G188,TODAY()-G188,0))</f>
        <v/>
      </c>
    </row>
    <row r="189" s="11">
      <c r="M189" s="71">
        <f>K189-L189</f>
        <v/>
      </c>
      <c r="N189" s="71">
        <f>M189*Settings!$B$12</f>
        <v/>
      </c>
      <c r="O189" s="71">
        <f>M189+N189</f>
        <v/>
      </c>
      <c r="Q189" s="71">
        <f>O189-P189</f>
        <v/>
      </c>
      <c r="U189" s="70">
        <f>IF(R189="Paid",0,IF(TODAY()&gt;G189,TODAY()-G189,0))</f>
        <v/>
      </c>
    </row>
    <row r="190" s="11">
      <c r="M190" s="71">
        <f>K190-L190</f>
        <v/>
      </c>
      <c r="N190" s="71">
        <f>M190*Settings!$B$12</f>
        <v/>
      </c>
      <c r="O190" s="71">
        <f>M190+N190</f>
        <v/>
      </c>
      <c r="Q190" s="71">
        <f>O190-P190</f>
        <v/>
      </c>
      <c r="U190" s="70">
        <f>IF(R190="Paid",0,IF(TODAY()&gt;G190,TODAY()-G190,0))</f>
        <v/>
      </c>
    </row>
    <row r="191" s="11">
      <c r="M191" s="71">
        <f>K191-L191</f>
        <v/>
      </c>
      <c r="N191" s="71">
        <f>M191*Settings!$B$12</f>
        <v/>
      </c>
      <c r="O191" s="71">
        <f>M191+N191</f>
        <v/>
      </c>
      <c r="Q191" s="71">
        <f>O191-P191</f>
        <v/>
      </c>
      <c r="U191" s="70">
        <f>IF(R191="Paid",0,IF(TODAY()&gt;G191,TODAY()-G191,0))</f>
        <v/>
      </c>
    </row>
    <row r="192" s="11">
      <c r="M192" s="71">
        <f>K192-L192</f>
        <v/>
      </c>
      <c r="N192" s="71">
        <f>M192*Settings!$B$12</f>
        <v/>
      </c>
      <c r="O192" s="71">
        <f>M192+N192</f>
        <v/>
      </c>
      <c r="Q192" s="71">
        <f>O192-P192</f>
        <v/>
      </c>
      <c r="U192" s="70">
        <f>IF(R192="Paid",0,IF(TODAY()&gt;G192,TODAY()-G192,0))</f>
        <v/>
      </c>
    </row>
    <row r="193" s="11">
      <c r="M193" s="71">
        <f>K193-L193</f>
        <v/>
      </c>
      <c r="N193" s="71">
        <f>M193*Settings!$B$12</f>
        <v/>
      </c>
      <c r="O193" s="71">
        <f>M193+N193</f>
        <v/>
      </c>
      <c r="Q193" s="71">
        <f>O193-P193</f>
        <v/>
      </c>
      <c r="U193" s="70">
        <f>IF(R193="Paid",0,IF(TODAY()&gt;G193,TODAY()-G193,0))</f>
        <v/>
      </c>
    </row>
    <row r="194" s="11">
      <c r="M194" s="71">
        <f>K194-L194</f>
        <v/>
      </c>
      <c r="N194" s="71">
        <f>M194*Settings!$B$12</f>
        <v/>
      </c>
      <c r="O194" s="71">
        <f>M194+N194</f>
        <v/>
      </c>
      <c r="Q194" s="71">
        <f>O194-P194</f>
        <v/>
      </c>
      <c r="U194" s="70">
        <f>IF(R194="Paid",0,IF(TODAY()&gt;G194,TODAY()-G194,0))</f>
        <v/>
      </c>
    </row>
    <row r="195" s="11">
      <c r="M195" s="71">
        <f>K195-L195</f>
        <v/>
      </c>
      <c r="N195" s="71">
        <f>M195*Settings!$B$12</f>
        <v/>
      </c>
      <c r="O195" s="71">
        <f>M195+N195</f>
        <v/>
      </c>
      <c r="Q195" s="71">
        <f>O195-P195</f>
        <v/>
      </c>
      <c r="U195" s="70">
        <f>IF(R195="Paid",0,IF(TODAY()&gt;G195,TODAY()-G195,0))</f>
        <v/>
      </c>
    </row>
    <row r="196" s="11">
      <c r="M196" s="71">
        <f>K196-L196</f>
        <v/>
      </c>
      <c r="N196" s="71">
        <f>M196*Settings!$B$12</f>
        <v/>
      </c>
      <c r="O196" s="71">
        <f>M196+N196</f>
        <v/>
      </c>
      <c r="Q196" s="71">
        <f>O196-P196</f>
        <v/>
      </c>
      <c r="U196" s="70">
        <f>IF(R196="Paid",0,IF(TODAY()&gt;G196,TODAY()-G196,0))</f>
        <v/>
      </c>
    </row>
    <row r="197" s="11">
      <c r="M197" s="71">
        <f>K197-L197</f>
        <v/>
      </c>
      <c r="N197" s="71">
        <f>M197*Settings!$B$12</f>
        <v/>
      </c>
      <c r="O197" s="71">
        <f>M197+N197</f>
        <v/>
      </c>
      <c r="Q197" s="71">
        <f>O197-P197</f>
        <v/>
      </c>
      <c r="U197" s="70">
        <f>IF(R197="Paid",0,IF(TODAY()&gt;G197,TODAY()-G197,0))</f>
        <v/>
      </c>
    </row>
    <row r="198" s="11">
      <c r="M198" s="71">
        <f>K198-L198</f>
        <v/>
      </c>
      <c r="N198" s="71">
        <f>M198*Settings!$B$12</f>
        <v/>
      </c>
      <c r="O198" s="71">
        <f>M198+N198</f>
        <v/>
      </c>
      <c r="Q198" s="71">
        <f>O198-P198</f>
        <v/>
      </c>
      <c r="U198" s="70">
        <f>IF(R198="Paid",0,IF(TODAY()&gt;G198,TODAY()-G198,0))</f>
        <v/>
      </c>
    </row>
    <row r="199" s="11">
      <c r="M199" s="71">
        <f>K199-L199</f>
        <v/>
      </c>
      <c r="N199" s="71">
        <f>M199*Settings!$B$12</f>
        <v/>
      </c>
      <c r="O199" s="71">
        <f>M199+N199</f>
        <v/>
      </c>
      <c r="Q199" s="71">
        <f>O199-P199</f>
        <v/>
      </c>
      <c r="U199" s="70">
        <f>IF(R199="Paid",0,IF(TODAY()&gt;G199,TODAY()-G199,0))</f>
        <v/>
      </c>
    </row>
    <row r="200" s="11">
      <c r="M200" s="71">
        <f>K200-L200</f>
        <v/>
      </c>
      <c r="N200" s="71">
        <f>M200*Settings!$B$12</f>
        <v/>
      </c>
      <c r="O200" s="71">
        <f>M200+N200</f>
        <v/>
      </c>
      <c r="Q200" s="71">
        <f>O200-P200</f>
        <v/>
      </c>
      <c r="U200" s="70">
        <f>IF(R200="Paid",0,IF(TODAY()&gt;G200,TODAY()-G200,0))</f>
        <v/>
      </c>
    </row>
    <row r="201" s="11">
      <c r="M201" s="71">
        <f>K201-L201</f>
        <v/>
      </c>
      <c r="N201" s="71">
        <f>M201*Settings!$B$12</f>
        <v/>
      </c>
      <c r="O201" s="71">
        <f>M201+N201</f>
        <v/>
      </c>
      <c r="Q201" s="71">
        <f>O201-P201</f>
        <v/>
      </c>
      <c r="U201" s="70">
        <f>IF(R201="Paid",0,IF(TODAY()&gt;G201,TODAY()-G201,0))</f>
        <v/>
      </c>
    </row>
    <row r="202" s="11">
      <c r="M202" s="71">
        <f>K202-L202</f>
        <v/>
      </c>
      <c r="N202" s="71">
        <f>M202*Settings!$B$12</f>
        <v/>
      </c>
      <c r="O202" s="71">
        <f>M202+N202</f>
        <v/>
      </c>
      <c r="Q202" s="71">
        <f>O202-P202</f>
        <v/>
      </c>
      <c r="U202" s="70">
        <f>IF(R202="Paid",0,IF(TODAY()&gt;G202,TODAY()-G202,0))</f>
        <v/>
      </c>
    </row>
    <row r="203" s="11">
      <c r="M203" s="71">
        <f>K203-L203</f>
        <v/>
      </c>
      <c r="N203" s="71">
        <f>M203*Settings!$B$12</f>
        <v/>
      </c>
      <c r="O203" s="71">
        <f>M203+N203</f>
        <v/>
      </c>
      <c r="Q203" s="71">
        <f>O203-P203</f>
        <v/>
      </c>
      <c r="U203" s="70">
        <f>IF(R203="Paid",0,IF(TODAY()&gt;G203,TODAY()-G203,0))</f>
        <v/>
      </c>
    </row>
    <row r="204" s="11">
      <c r="M204" s="71">
        <f>K204-L204</f>
        <v/>
      </c>
      <c r="N204" s="71">
        <f>M204*Settings!$B$12</f>
        <v/>
      </c>
      <c r="O204" s="71">
        <f>M204+N204</f>
        <v/>
      </c>
      <c r="Q204" s="71">
        <f>O204-P204</f>
        <v/>
      </c>
      <c r="U204" s="70">
        <f>IF(R204="Paid",0,IF(TODAY()&gt;G204,TODAY()-G204,0))</f>
        <v/>
      </c>
    </row>
    <row r="205" s="11">
      <c r="M205" s="71">
        <f>K205-L205</f>
        <v/>
      </c>
      <c r="N205" s="71">
        <f>M205*Settings!$B$12</f>
        <v/>
      </c>
      <c r="O205" s="71">
        <f>M205+N205</f>
        <v/>
      </c>
      <c r="Q205" s="71">
        <f>O205-P205</f>
        <v/>
      </c>
      <c r="U205" s="70">
        <f>IF(R205="Paid",0,IF(TODAY()&gt;G205,TODAY()-G205,0))</f>
        <v/>
      </c>
    </row>
    <row r="206" s="11">
      <c r="M206" s="71">
        <f>K206-L206</f>
        <v/>
      </c>
      <c r="N206" s="71">
        <f>M206*Settings!$B$12</f>
        <v/>
      </c>
      <c r="O206" s="71">
        <f>M206+N206</f>
        <v/>
      </c>
      <c r="Q206" s="71">
        <f>O206-P206</f>
        <v/>
      </c>
      <c r="U206" s="70">
        <f>IF(R206="Paid",0,IF(TODAY()&gt;G206,TODAY()-G206,0))</f>
        <v/>
      </c>
    </row>
    <row r="207" s="11">
      <c r="M207" s="71">
        <f>K207-L207</f>
        <v/>
      </c>
      <c r="N207" s="71">
        <f>M207*Settings!$B$12</f>
        <v/>
      </c>
      <c r="O207" s="71">
        <f>M207+N207</f>
        <v/>
      </c>
      <c r="Q207" s="71">
        <f>O207-P207</f>
        <v/>
      </c>
      <c r="U207" s="70">
        <f>IF(R207="Paid",0,IF(TODAY()&gt;G207,TODAY()-G207,0))</f>
        <v/>
      </c>
    </row>
    <row r="208" s="11">
      <c r="M208" s="71">
        <f>K208-L208</f>
        <v/>
      </c>
      <c r="N208" s="71">
        <f>M208*Settings!$B$12</f>
        <v/>
      </c>
      <c r="O208" s="71">
        <f>M208+N208</f>
        <v/>
      </c>
      <c r="Q208" s="71">
        <f>O208-P208</f>
        <v/>
      </c>
      <c r="U208" s="70">
        <f>IF(R208="Paid",0,IF(TODAY()&gt;G208,TODAY()-G208,0))</f>
        <v/>
      </c>
    </row>
    <row r="209" s="11">
      <c r="M209" s="71">
        <f>K209-L209</f>
        <v/>
      </c>
      <c r="N209" s="71">
        <f>M209*Settings!$B$12</f>
        <v/>
      </c>
      <c r="O209" s="71">
        <f>M209+N209</f>
        <v/>
      </c>
      <c r="Q209" s="71">
        <f>O209-P209</f>
        <v/>
      </c>
      <c r="U209" s="70">
        <f>IF(R209="Paid",0,IF(TODAY()&gt;G209,TODAY()-G209,0))</f>
        <v/>
      </c>
    </row>
    <row r="210" s="11">
      <c r="M210" s="71">
        <f>K210-L210</f>
        <v/>
      </c>
      <c r="N210" s="71">
        <f>M210*Settings!$B$12</f>
        <v/>
      </c>
      <c r="O210" s="71">
        <f>M210+N210</f>
        <v/>
      </c>
      <c r="Q210" s="71">
        <f>O210-P210</f>
        <v/>
      </c>
      <c r="U210" s="70">
        <f>IF(R210="Paid",0,IF(TODAY()&gt;G210,TODAY()-G210,0))</f>
        <v/>
      </c>
    </row>
    <row r="211" s="11">
      <c r="M211" s="71">
        <f>K211-L211</f>
        <v/>
      </c>
      <c r="N211" s="71">
        <f>M211*Settings!$B$12</f>
        <v/>
      </c>
      <c r="O211" s="71">
        <f>M211+N211</f>
        <v/>
      </c>
      <c r="Q211" s="71">
        <f>O211-P211</f>
        <v/>
      </c>
      <c r="U211" s="70">
        <f>IF(R211="Paid",0,IF(TODAY()&gt;G211,TODAY()-G211,0))</f>
        <v/>
      </c>
    </row>
    <row r="212" s="11">
      <c r="M212" s="71">
        <f>K212-L212</f>
        <v/>
      </c>
      <c r="N212" s="71">
        <f>M212*Settings!$B$12</f>
        <v/>
      </c>
      <c r="O212" s="71">
        <f>M212+N212</f>
        <v/>
      </c>
      <c r="Q212" s="71">
        <f>O212-P212</f>
        <v/>
      </c>
      <c r="U212" s="70">
        <f>IF(R212="Paid",0,IF(TODAY()&gt;G212,TODAY()-G212,0))</f>
        <v/>
      </c>
    </row>
    <row r="213" s="11">
      <c r="M213" s="71">
        <f>K213-L213</f>
        <v/>
      </c>
      <c r="N213" s="71">
        <f>M213*Settings!$B$12</f>
        <v/>
      </c>
      <c r="O213" s="71">
        <f>M213+N213</f>
        <v/>
      </c>
      <c r="Q213" s="71">
        <f>O213-P213</f>
        <v/>
      </c>
      <c r="U213" s="70">
        <f>IF(R213="Paid",0,IF(TODAY()&gt;G213,TODAY()-G213,0))</f>
        <v/>
      </c>
    </row>
    <row r="214" s="11">
      <c r="M214" s="71">
        <f>K214-L214</f>
        <v/>
      </c>
      <c r="N214" s="71">
        <f>M214*Settings!$B$12</f>
        <v/>
      </c>
      <c r="O214" s="71">
        <f>M214+N214</f>
        <v/>
      </c>
      <c r="Q214" s="71">
        <f>O214-P214</f>
        <v/>
      </c>
      <c r="U214" s="70">
        <f>IF(R214="Paid",0,IF(TODAY()&gt;G214,TODAY()-G214,0))</f>
        <v/>
      </c>
    </row>
    <row r="215" s="11">
      <c r="M215" s="71">
        <f>K215-L215</f>
        <v/>
      </c>
      <c r="N215" s="71">
        <f>M215*Settings!$B$12</f>
        <v/>
      </c>
      <c r="O215" s="71">
        <f>M215+N215</f>
        <v/>
      </c>
      <c r="Q215" s="71">
        <f>O215-P215</f>
        <v/>
      </c>
      <c r="U215" s="70">
        <f>IF(R215="Paid",0,IF(TODAY()&gt;G215,TODAY()-G215,0))</f>
        <v/>
      </c>
    </row>
    <row r="216" s="11">
      <c r="M216" s="71">
        <f>K216-L216</f>
        <v/>
      </c>
      <c r="N216" s="71">
        <f>M216*Settings!$B$12</f>
        <v/>
      </c>
      <c r="O216" s="71">
        <f>M216+N216</f>
        <v/>
      </c>
      <c r="Q216" s="71">
        <f>O216-P216</f>
        <v/>
      </c>
      <c r="U216" s="70">
        <f>IF(R216="Paid",0,IF(TODAY()&gt;G216,TODAY()-G216,0))</f>
        <v/>
      </c>
    </row>
    <row r="217" s="11">
      <c r="M217" s="71">
        <f>K217-L217</f>
        <v/>
      </c>
      <c r="N217" s="71">
        <f>M217*Settings!$B$12</f>
        <v/>
      </c>
      <c r="O217" s="71">
        <f>M217+N217</f>
        <v/>
      </c>
      <c r="Q217" s="71">
        <f>O217-P217</f>
        <v/>
      </c>
      <c r="U217" s="70">
        <f>IF(R217="Paid",0,IF(TODAY()&gt;G217,TODAY()-G217,0))</f>
        <v/>
      </c>
    </row>
    <row r="218" s="11">
      <c r="M218" s="71">
        <f>K218-L218</f>
        <v/>
      </c>
      <c r="N218" s="71">
        <f>M218*Settings!$B$12</f>
        <v/>
      </c>
      <c r="O218" s="71">
        <f>M218+N218</f>
        <v/>
      </c>
      <c r="Q218" s="71">
        <f>O218-P218</f>
        <v/>
      </c>
      <c r="U218" s="70">
        <f>IF(R218="Paid",0,IF(TODAY()&gt;G218,TODAY()-G218,0))</f>
        <v/>
      </c>
    </row>
    <row r="219" s="11">
      <c r="M219" s="71">
        <f>K219-L219</f>
        <v/>
      </c>
      <c r="N219" s="71">
        <f>M219*Settings!$B$12</f>
        <v/>
      </c>
      <c r="O219" s="71">
        <f>M219+N219</f>
        <v/>
      </c>
      <c r="Q219" s="71">
        <f>O219-P219</f>
        <v/>
      </c>
      <c r="U219" s="70">
        <f>IF(R219="Paid",0,IF(TODAY()&gt;G219,TODAY()-G219,0))</f>
        <v/>
      </c>
    </row>
    <row r="220" s="11">
      <c r="M220" s="71">
        <f>K220-L220</f>
        <v/>
      </c>
      <c r="N220" s="71">
        <f>M220*Settings!$B$12</f>
        <v/>
      </c>
      <c r="O220" s="71">
        <f>M220+N220</f>
        <v/>
      </c>
      <c r="Q220" s="71">
        <f>O220-P220</f>
        <v/>
      </c>
      <c r="U220" s="70">
        <f>IF(R220="Paid",0,IF(TODAY()&gt;G220,TODAY()-G220,0))</f>
        <v/>
      </c>
    </row>
    <row r="221" s="11">
      <c r="M221" s="71">
        <f>K221-L221</f>
        <v/>
      </c>
      <c r="N221" s="71">
        <f>M221*Settings!$B$12</f>
        <v/>
      </c>
      <c r="O221" s="71">
        <f>M221+N221</f>
        <v/>
      </c>
      <c r="Q221" s="71">
        <f>O221-P221</f>
        <v/>
      </c>
      <c r="U221" s="70">
        <f>IF(R221="Paid",0,IF(TODAY()&gt;G221,TODAY()-G221,0))</f>
        <v/>
      </c>
    </row>
    <row r="222" s="11">
      <c r="M222" s="71">
        <f>K222-L222</f>
        <v/>
      </c>
      <c r="N222" s="71">
        <f>M222*Settings!$B$12</f>
        <v/>
      </c>
      <c r="O222" s="71">
        <f>M222+N222</f>
        <v/>
      </c>
      <c r="Q222" s="71">
        <f>O222-P222</f>
        <v/>
      </c>
      <c r="U222" s="70">
        <f>IF(R222="Paid",0,IF(TODAY()&gt;G222,TODAY()-G222,0))</f>
        <v/>
      </c>
    </row>
    <row r="223" s="11">
      <c r="M223" s="71">
        <f>K223-L223</f>
        <v/>
      </c>
      <c r="N223" s="71">
        <f>M223*Settings!$B$12</f>
        <v/>
      </c>
      <c r="O223" s="71">
        <f>M223+N223</f>
        <v/>
      </c>
      <c r="Q223" s="71">
        <f>O223-P223</f>
        <v/>
      </c>
      <c r="U223" s="70">
        <f>IF(R223="Paid",0,IF(TODAY()&gt;G223,TODAY()-G223,0))</f>
        <v/>
      </c>
    </row>
    <row r="224" s="11">
      <c r="M224" s="71">
        <f>K224-L224</f>
        <v/>
      </c>
      <c r="N224" s="71">
        <f>M224*Settings!$B$12</f>
        <v/>
      </c>
      <c r="O224" s="71">
        <f>M224+N224</f>
        <v/>
      </c>
      <c r="Q224" s="71">
        <f>O224-P224</f>
        <v/>
      </c>
      <c r="U224" s="70">
        <f>IF(R224="Paid",0,IF(TODAY()&gt;G224,TODAY()-G224,0))</f>
        <v/>
      </c>
    </row>
    <row r="225" s="11">
      <c r="M225" s="71">
        <f>K225-L225</f>
        <v/>
      </c>
      <c r="N225" s="71">
        <f>M225*Settings!$B$12</f>
        <v/>
      </c>
      <c r="O225" s="71">
        <f>M225+N225</f>
        <v/>
      </c>
      <c r="Q225" s="71">
        <f>O225-P225</f>
        <v/>
      </c>
      <c r="U225" s="70">
        <f>IF(R225="Paid",0,IF(TODAY()&gt;G225,TODAY()-G225,0))</f>
        <v/>
      </c>
    </row>
    <row r="226" s="11">
      <c r="M226" s="71">
        <f>K226-L226</f>
        <v/>
      </c>
      <c r="N226" s="71">
        <f>M226*Settings!$B$12</f>
        <v/>
      </c>
      <c r="O226" s="71">
        <f>M226+N226</f>
        <v/>
      </c>
      <c r="Q226" s="71">
        <f>O226-P226</f>
        <v/>
      </c>
      <c r="U226" s="70">
        <f>IF(R226="Paid",0,IF(TODAY()&gt;G226,TODAY()-G226,0))</f>
        <v/>
      </c>
    </row>
    <row r="227" s="11">
      <c r="M227" s="71">
        <f>K227-L227</f>
        <v/>
      </c>
      <c r="N227" s="71">
        <f>M227*Settings!$B$12</f>
        <v/>
      </c>
      <c r="O227" s="71">
        <f>M227+N227</f>
        <v/>
      </c>
      <c r="Q227" s="71">
        <f>O227-P227</f>
        <v/>
      </c>
      <c r="U227" s="70">
        <f>IF(R227="Paid",0,IF(TODAY()&gt;G227,TODAY()-G227,0))</f>
        <v/>
      </c>
    </row>
    <row r="228" s="11">
      <c r="M228" s="71">
        <f>K228-L228</f>
        <v/>
      </c>
      <c r="N228" s="71">
        <f>M228*Settings!$B$12</f>
        <v/>
      </c>
      <c r="O228" s="71">
        <f>M228+N228</f>
        <v/>
      </c>
      <c r="Q228" s="71">
        <f>O228-P228</f>
        <v/>
      </c>
      <c r="U228" s="70">
        <f>IF(R228="Paid",0,IF(TODAY()&gt;G228,TODAY()-G228,0))</f>
        <v/>
      </c>
    </row>
    <row r="229" s="11">
      <c r="M229" s="71">
        <f>K229-L229</f>
        <v/>
      </c>
      <c r="N229" s="71">
        <f>M229*Settings!$B$12</f>
        <v/>
      </c>
      <c r="O229" s="71">
        <f>M229+N229</f>
        <v/>
      </c>
      <c r="Q229" s="71">
        <f>O229-P229</f>
        <v/>
      </c>
      <c r="U229" s="70">
        <f>IF(R229="Paid",0,IF(TODAY()&gt;G229,TODAY()-G229,0))</f>
        <v/>
      </c>
    </row>
    <row r="230" s="11">
      <c r="M230" s="71">
        <f>K230-L230</f>
        <v/>
      </c>
      <c r="N230" s="71">
        <f>M230*Settings!$B$12</f>
        <v/>
      </c>
      <c r="O230" s="71">
        <f>M230+N230</f>
        <v/>
      </c>
      <c r="Q230" s="71">
        <f>O230-P230</f>
        <v/>
      </c>
      <c r="U230" s="70">
        <f>IF(R230="Paid",0,IF(TODAY()&gt;G230,TODAY()-G230,0))</f>
        <v/>
      </c>
    </row>
    <row r="231" s="11">
      <c r="M231" s="71">
        <f>K231-L231</f>
        <v/>
      </c>
      <c r="N231" s="71">
        <f>M231*Settings!$B$12</f>
        <v/>
      </c>
      <c r="O231" s="71">
        <f>M231+N231</f>
        <v/>
      </c>
      <c r="Q231" s="71">
        <f>O231-P231</f>
        <v/>
      </c>
      <c r="U231" s="70">
        <f>IF(R231="Paid",0,IF(TODAY()&gt;G231,TODAY()-G231,0))</f>
        <v/>
      </c>
    </row>
    <row r="232" s="11">
      <c r="M232" s="71">
        <f>K232-L232</f>
        <v/>
      </c>
      <c r="N232" s="71">
        <f>M232*Settings!$B$12</f>
        <v/>
      </c>
      <c r="O232" s="71">
        <f>M232+N232</f>
        <v/>
      </c>
      <c r="Q232" s="71">
        <f>O232-P232</f>
        <v/>
      </c>
      <c r="U232" s="70">
        <f>IF(R232="Paid",0,IF(TODAY()&gt;G232,TODAY()-G232,0))</f>
        <v/>
      </c>
    </row>
    <row r="233" s="11">
      <c r="M233" s="71">
        <f>K233-L233</f>
        <v/>
      </c>
      <c r="N233" s="71">
        <f>M233*Settings!$B$12</f>
        <v/>
      </c>
      <c r="O233" s="71">
        <f>M233+N233</f>
        <v/>
      </c>
      <c r="Q233" s="71">
        <f>O233-P233</f>
        <v/>
      </c>
      <c r="U233" s="70">
        <f>IF(R233="Paid",0,IF(TODAY()&gt;G233,TODAY()-G233,0))</f>
        <v/>
      </c>
    </row>
    <row r="234" s="11">
      <c r="M234" s="71">
        <f>K234-L234</f>
        <v/>
      </c>
      <c r="N234" s="71">
        <f>M234*Settings!$B$12</f>
        <v/>
      </c>
      <c r="O234" s="71">
        <f>M234+N234</f>
        <v/>
      </c>
      <c r="Q234" s="71">
        <f>O234-P234</f>
        <v/>
      </c>
      <c r="U234" s="70">
        <f>IF(R234="Paid",0,IF(TODAY()&gt;G234,TODAY()-G234,0))</f>
        <v/>
      </c>
    </row>
    <row r="235" s="11">
      <c r="M235" s="71">
        <f>K235-L235</f>
        <v/>
      </c>
      <c r="N235" s="71">
        <f>M235*Settings!$B$12</f>
        <v/>
      </c>
      <c r="O235" s="71">
        <f>M235+N235</f>
        <v/>
      </c>
      <c r="Q235" s="71">
        <f>O235-P235</f>
        <v/>
      </c>
      <c r="U235" s="70">
        <f>IF(R235="Paid",0,IF(TODAY()&gt;G235,TODAY()-G235,0))</f>
        <v/>
      </c>
    </row>
    <row r="236" s="11">
      <c r="M236" s="71">
        <f>K236-L236</f>
        <v/>
      </c>
      <c r="N236" s="71">
        <f>M236*Settings!$B$12</f>
        <v/>
      </c>
      <c r="O236" s="71">
        <f>M236+N236</f>
        <v/>
      </c>
      <c r="Q236" s="71">
        <f>O236-P236</f>
        <v/>
      </c>
      <c r="U236" s="70">
        <f>IF(R236="Paid",0,IF(TODAY()&gt;G236,TODAY()-G236,0))</f>
        <v/>
      </c>
    </row>
    <row r="237" s="11">
      <c r="M237" s="71">
        <f>K237-L237</f>
        <v/>
      </c>
      <c r="N237" s="71">
        <f>M237*Settings!$B$12</f>
        <v/>
      </c>
      <c r="O237" s="71">
        <f>M237+N237</f>
        <v/>
      </c>
      <c r="Q237" s="71">
        <f>O237-P237</f>
        <v/>
      </c>
      <c r="U237" s="70">
        <f>IF(R237="Paid",0,IF(TODAY()&gt;G237,TODAY()-G237,0))</f>
        <v/>
      </c>
    </row>
    <row r="238" s="11">
      <c r="M238" s="71">
        <f>K238-L238</f>
        <v/>
      </c>
      <c r="N238" s="71">
        <f>M238*Settings!$B$12</f>
        <v/>
      </c>
      <c r="O238" s="71">
        <f>M238+N238</f>
        <v/>
      </c>
      <c r="Q238" s="71">
        <f>O238-P238</f>
        <v/>
      </c>
      <c r="U238" s="70">
        <f>IF(R238="Paid",0,IF(TODAY()&gt;G238,TODAY()-G238,0))</f>
        <v/>
      </c>
    </row>
    <row r="239" s="11">
      <c r="M239" s="71">
        <f>K239-L239</f>
        <v/>
      </c>
      <c r="N239" s="71">
        <f>M239*Settings!$B$12</f>
        <v/>
      </c>
      <c r="O239" s="71">
        <f>M239+N239</f>
        <v/>
      </c>
      <c r="Q239" s="71">
        <f>O239-P239</f>
        <v/>
      </c>
      <c r="U239" s="70">
        <f>IF(R239="Paid",0,IF(TODAY()&gt;G239,TODAY()-G239,0))</f>
        <v/>
      </c>
    </row>
    <row r="240" s="11">
      <c r="M240" s="71">
        <f>K240-L240</f>
        <v/>
      </c>
      <c r="N240" s="71">
        <f>M240*Settings!$B$12</f>
        <v/>
      </c>
      <c r="O240" s="71">
        <f>M240+N240</f>
        <v/>
      </c>
      <c r="Q240" s="71">
        <f>O240-P240</f>
        <v/>
      </c>
      <c r="U240" s="70">
        <f>IF(R240="Paid",0,IF(TODAY()&gt;G240,TODAY()-G240,0))</f>
        <v/>
      </c>
    </row>
    <row r="241" s="11">
      <c r="M241" s="71">
        <f>K241-L241</f>
        <v/>
      </c>
      <c r="N241" s="71">
        <f>M241*Settings!$B$12</f>
        <v/>
      </c>
      <c r="O241" s="71">
        <f>M241+N241</f>
        <v/>
      </c>
      <c r="Q241" s="71">
        <f>O241-P241</f>
        <v/>
      </c>
      <c r="U241" s="70">
        <f>IF(R241="Paid",0,IF(TODAY()&gt;G241,TODAY()-G241,0))</f>
        <v/>
      </c>
    </row>
    <row r="242" s="11">
      <c r="M242" s="71">
        <f>K242-L242</f>
        <v/>
      </c>
      <c r="N242" s="71">
        <f>M242*Settings!$B$12</f>
        <v/>
      </c>
      <c r="O242" s="71">
        <f>M242+N242</f>
        <v/>
      </c>
      <c r="Q242" s="71">
        <f>O242-P242</f>
        <v/>
      </c>
      <c r="U242" s="70">
        <f>IF(R242="Paid",0,IF(TODAY()&gt;G242,TODAY()-G242,0))</f>
        <v/>
      </c>
    </row>
    <row r="243" s="11">
      <c r="M243" s="71">
        <f>K243-L243</f>
        <v/>
      </c>
      <c r="N243" s="71">
        <f>M243*Settings!$B$12</f>
        <v/>
      </c>
      <c r="O243" s="71">
        <f>M243+N243</f>
        <v/>
      </c>
      <c r="Q243" s="71">
        <f>O243-P243</f>
        <v/>
      </c>
      <c r="U243" s="70">
        <f>IF(R243="Paid",0,IF(TODAY()&gt;G243,TODAY()-G243,0))</f>
        <v/>
      </c>
    </row>
    <row r="244" s="11">
      <c r="M244" s="71">
        <f>K244-L244</f>
        <v/>
      </c>
      <c r="N244" s="71">
        <f>M244*Settings!$B$12</f>
        <v/>
      </c>
      <c r="O244" s="71">
        <f>M244+N244</f>
        <v/>
      </c>
      <c r="Q244" s="71">
        <f>O244-P244</f>
        <v/>
      </c>
      <c r="U244" s="70">
        <f>IF(R244="Paid",0,IF(TODAY()&gt;G244,TODAY()-G244,0))</f>
        <v/>
      </c>
    </row>
    <row r="245" s="11">
      <c r="M245" s="71">
        <f>K245-L245</f>
        <v/>
      </c>
      <c r="N245" s="71">
        <f>M245*Settings!$B$12</f>
        <v/>
      </c>
      <c r="O245" s="71">
        <f>M245+N245</f>
        <v/>
      </c>
      <c r="Q245" s="71">
        <f>O245-P245</f>
        <v/>
      </c>
      <c r="U245" s="70">
        <f>IF(R245="Paid",0,IF(TODAY()&gt;G245,TODAY()-G245,0))</f>
        <v/>
      </c>
    </row>
    <row r="246" s="11">
      <c r="M246" s="71">
        <f>K246-L246</f>
        <v/>
      </c>
      <c r="N246" s="71">
        <f>M246*Settings!$B$12</f>
        <v/>
      </c>
      <c r="O246" s="71">
        <f>M246+N246</f>
        <v/>
      </c>
      <c r="Q246" s="71">
        <f>O246-P246</f>
        <v/>
      </c>
      <c r="U246" s="70">
        <f>IF(R246="Paid",0,IF(TODAY()&gt;G246,TODAY()-G246,0))</f>
        <v/>
      </c>
    </row>
    <row r="247" s="11">
      <c r="M247" s="71">
        <f>K247-L247</f>
        <v/>
      </c>
      <c r="N247" s="71">
        <f>M247*Settings!$B$12</f>
        <v/>
      </c>
      <c r="O247" s="71">
        <f>M247+N247</f>
        <v/>
      </c>
      <c r="Q247" s="71">
        <f>O247-P247</f>
        <v/>
      </c>
      <c r="U247" s="70">
        <f>IF(R247="Paid",0,IF(TODAY()&gt;G247,TODAY()-G247,0))</f>
        <v/>
      </c>
    </row>
    <row r="248" s="11">
      <c r="M248" s="71">
        <f>K248-L248</f>
        <v/>
      </c>
      <c r="N248" s="71">
        <f>M248*Settings!$B$12</f>
        <v/>
      </c>
      <c r="O248" s="71">
        <f>M248+N248</f>
        <v/>
      </c>
      <c r="Q248" s="71">
        <f>O248-P248</f>
        <v/>
      </c>
      <c r="U248" s="70">
        <f>IF(R248="Paid",0,IF(TODAY()&gt;G248,TODAY()-G248,0))</f>
        <v/>
      </c>
    </row>
    <row r="249" s="11">
      <c r="M249" s="71">
        <f>K249-L249</f>
        <v/>
      </c>
      <c r="N249" s="71">
        <f>M249*Settings!$B$12</f>
        <v/>
      </c>
      <c r="O249" s="71">
        <f>M249+N249</f>
        <v/>
      </c>
      <c r="Q249" s="71">
        <f>O249-P249</f>
        <v/>
      </c>
      <c r="U249" s="70">
        <f>IF(R249="Paid",0,IF(TODAY()&gt;G249,TODAY()-G249,0))</f>
        <v/>
      </c>
    </row>
    <row r="250" s="11">
      <c r="M250" s="71">
        <f>K250-L250</f>
        <v/>
      </c>
      <c r="N250" s="71">
        <f>M250*Settings!$B$12</f>
        <v/>
      </c>
      <c r="O250" s="71">
        <f>M250+N250</f>
        <v/>
      </c>
      <c r="Q250" s="71">
        <f>O250-P250</f>
        <v/>
      </c>
      <c r="U250" s="70">
        <f>IF(R250="Paid",0,IF(TODAY()&gt;G250,TODAY()-G250,0))</f>
        <v/>
      </c>
    </row>
    <row r="251" s="11">
      <c r="M251" s="71">
        <f>K251-L251</f>
        <v/>
      </c>
      <c r="N251" s="71">
        <f>M251*Settings!$B$12</f>
        <v/>
      </c>
      <c r="O251" s="71">
        <f>M251+N251</f>
        <v/>
      </c>
      <c r="Q251" s="71">
        <f>O251-P251</f>
        <v/>
      </c>
      <c r="U251" s="70">
        <f>IF(R251="Paid",0,IF(TODAY()&gt;G251,TODAY()-G251,0))</f>
        <v/>
      </c>
    </row>
    <row r="252" s="11">
      <c r="M252" s="71">
        <f>K252-L252</f>
        <v/>
      </c>
      <c r="N252" s="71">
        <f>M252*Settings!$B$12</f>
        <v/>
      </c>
      <c r="O252" s="71">
        <f>M252+N252</f>
        <v/>
      </c>
      <c r="Q252" s="71">
        <f>O252-P252</f>
        <v/>
      </c>
      <c r="U252" s="70">
        <f>IF(R252="Paid",0,IF(TODAY()&gt;G252,TODAY()-G252,0))</f>
        <v/>
      </c>
    </row>
    <row r="253" s="11">
      <c r="M253" s="71">
        <f>K253-L253</f>
        <v/>
      </c>
      <c r="N253" s="71">
        <f>M253*Settings!$B$12</f>
        <v/>
      </c>
      <c r="O253" s="71">
        <f>M253+N253</f>
        <v/>
      </c>
      <c r="Q253" s="71">
        <f>O253-P253</f>
        <v/>
      </c>
      <c r="U253" s="70">
        <f>IF(R253="Paid",0,IF(TODAY()&gt;G253,TODAY()-G253,0))</f>
        <v/>
      </c>
    </row>
    <row r="254" s="11">
      <c r="M254" s="71">
        <f>K254-L254</f>
        <v/>
      </c>
      <c r="N254" s="71">
        <f>M254*Settings!$B$12</f>
        <v/>
      </c>
      <c r="O254" s="71">
        <f>M254+N254</f>
        <v/>
      </c>
      <c r="Q254" s="71">
        <f>O254-P254</f>
        <v/>
      </c>
      <c r="U254" s="70">
        <f>IF(R254="Paid",0,IF(TODAY()&gt;G254,TODAY()-G254,0))</f>
        <v/>
      </c>
    </row>
    <row r="255" s="11">
      <c r="M255" s="71">
        <f>K255-L255</f>
        <v/>
      </c>
      <c r="N255" s="71">
        <f>M255*Settings!$B$12</f>
        <v/>
      </c>
      <c r="O255" s="71">
        <f>M255+N255</f>
        <v/>
      </c>
      <c r="Q255" s="71">
        <f>O255-P255</f>
        <v/>
      </c>
      <c r="U255" s="70">
        <f>IF(R255="Paid",0,IF(TODAY()&gt;G255,TODAY()-G255,0))</f>
        <v/>
      </c>
    </row>
    <row r="256" s="11">
      <c r="M256" s="71">
        <f>K256-L256</f>
        <v/>
      </c>
      <c r="N256" s="71">
        <f>M256*Settings!$B$12</f>
        <v/>
      </c>
      <c r="O256" s="71">
        <f>M256+N256</f>
        <v/>
      </c>
      <c r="Q256" s="71">
        <f>O256-P256</f>
        <v/>
      </c>
      <c r="U256" s="70">
        <f>IF(R256="Paid",0,IF(TODAY()&gt;G256,TODAY()-G256,0))</f>
        <v/>
      </c>
    </row>
    <row r="257" s="11">
      <c r="M257" s="71">
        <f>K257-L257</f>
        <v/>
      </c>
      <c r="N257" s="71">
        <f>M257*Settings!$B$12</f>
        <v/>
      </c>
      <c r="O257" s="71">
        <f>M257+N257</f>
        <v/>
      </c>
      <c r="Q257" s="71">
        <f>O257-P257</f>
        <v/>
      </c>
      <c r="U257" s="70">
        <f>IF(R257="Paid",0,IF(TODAY()&gt;G257,TODAY()-G257,0))</f>
        <v/>
      </c>
    </row>
    <row r="258" s="11">
      <c r="M258" s="71">
        <f>K258-L258</f>
        <v/>
      </c>
      <c r="N258" s="71">
        <f>M258*Settings!$B$12</f>
        <v/>
      </c>
      <c r="O258" s="71">
        <f>M258+N258</f>
        <v/>
      </c>
      <c r="Q258" s="71">
        <f>O258-P258</f>
        <v/>
      </c>
      <c r="U258" s="70">
        <f>IF(R258="Paid",0,IF(TODAY()&gt;G258,TODAY()-G258,0))</f>
        <v/>
      </c>
    </row>
    <row r="259" s="11">
      <c r="M259" s="71">
        <f>K259-L259</f>
        <v/>
      </c>
      <c r="N259" s="71">
        <f>M259*Settings!$B$12</f>
        <v/>
      </c>
      <c r="O259" s="71">
        <f>M259+N259</f>
        <v/>
      </c>
      <c r="Q259" s="71">
        <f>O259-P259</f>
        <v/>
      </c>
      <c r="U259" s="70">
        <f>IF(R259="Paid",0,IF(TODAY()&gt;G259,TODAY()-G259,0))</f>
        <v/>
      </c>
    </row>
    <row r="260" s="11">
      <c r="M260" s="71">
        <f>K260-L260</f>
        <v/>
      </c>
      <c r="N260" s="71">
        <f>M260*Settings!$B$12</f>
        <v/>
      </c>
      <c r="O260" s="71">
        <f>M260+N260</f>
        <v/>
      </c>
      <c r="Q260" s="71">
        <f>O260-P260</f>
        <v/>
      </c>
      <c r="U260" s="70">
        <f>IF(R260="Paid",0,IF(TODAY()&gt;G260,TODAY()-G260,0))</f>
        <v/>
      </c>
    </row>
    <row r="261" s="11">
      <c r="M261" s="71">
        <f>K261-L261</f>
        <v/>
      </c>
      <c r="N261" s="71">
        <f>M261*Settings!$B$12</f>
        <v/>
      </c>
      <c r="O261" s="71">
        <f>M261+N261</f>
        <v/>
      </c>
      <c r="Q261" s="71">
        <f>O261-P261</f>
        <v/>
      </c>
      <c r="U261" s="70">
        <f>IF(R261="Paid",0,IF(TODAY()&gt;G261,TODAY()-G261,0))</f>
        <v/>
      </c>
    </row>
    <row r="262" s="11">
      <c r="M262" s="71">
        <f>K262-L262</f>
        <v/>
      </c>
      <c r="N262" s="71">
        <f>M262*Settings!$B$12</f>
        <v/>
      </c>
      <c r="O262" s="71">
        <f>M262+N262</f>
        <v/>
      </c>
      <c r="Q262" s="71">
        <f>O262-P262</f>
        <v/>
      </c>
      <c r="U262" s="70">
        <f>IF(R262="Paid",0,IF(TODAY()&gt;G262,TODAY()-G262,0))</f>
        <v/>
      </c>
    </row>
    <row r="263" s="11">
      <c r="M263" s="71">
        <f>K263-L263</f>
        <v/>
      </c>
      <c r="N263" s="71">
        <f>M263*Settings!$B$12</f>
        <v/>
      </c>
      <c r="O263" s="71">
        <f>M263+N263</f>
        <v/>
      </c>
      <c r="Q263" s="71">
        <f>O263-P263</f>
        <v/>
      </c>
      <c r="U263" s="70">
        <f>IF(R263="Paid",0,IF(TODAY()&gt;G263,TODAY()-G263,0))</f>
        <v/>
      </c>
    </row>
    <row r="264" s="11">
      <c r="M264" s="71">
        <f>K264-L264</f>
        <v/>
      </c>
      <c r="N264" s="71">
        <f>M264*Settings!$B$12</f>
        <v/>
      </c>
      <c r="O264" s="71">
        <f>M264+N264</f>
        <v/>
      </c>
      <c r="Q264" s="71">
        <f>O264-P264</f>
        <v/>
      </c>
      <c r="U264" s="70">
        <f>IF(R264="Paid",0,IF(TODAY()&gt;G264,TODAY()-G264,0))</f>
        <v/>
      </c>
    </row>
    <row r="265" s="11">
      <c r="M265" s="71">
        <f>K265-L265</f>
        <v/>
      </c>
      <c r="N265" s="71">
        <f>M265*Settings!$B$12</f>
        <v/>
      </c>
      <c r="O265" s="71">
        <f>M265+N265</f>
        <v/>
      </c>
      <c r="Q265" s="71">
        <f>O265-P265</f>
        <v/>
      </c>
      <c r="U265" s="70">
        <f>IF(R265="Paid",0,IF(TODAY()&gt;G265,TODAY()-G265,0))</f>
        <v/>
      </c>
    </row>
    <row r="266" s="11">
      <c r="M266" s="71">
        <f>K266-L266</f>
        <v/>
      </c>
      <c r="N266" s="71">
        <f>M266*Settings!$B$12</f>
        <v/>
      </c>
      <c r="O266" s="71">
        <f>M266+N266</f>
        <v/>
      </c>
      <c r="Q266" s="71">
        <f>O266-P266</f>
        <v/>
      </c>
      <c r="U266" s="70">
        <f>IF(R266="Paid",0,IF(TODAY()&gt;G266,TODAY()-G266,0))</f>
        <v/>
      </c>
    </row>
    <row r="267" s="11">
      <c r="M267" s="71">
        <f>K267-L267</f>
        <v/>
      </c>
      <c r="N267" s="71">
        <f>M267*Settings!$B$12</f>
        <v/>
      </c>
      <c r="O267" s="71">
        <f>M267+N267</f>
        <v/>
      </c>
      <c r="Q267" s="71">
        <f>O267-P267</f>
        <v/>
      </c>
      <c r="U267" s="70">
        <f>IF(R267="Paid",0,IF(TODAY()&gt;G267,TODAY()-G267,0))</f>
        <v/>
      </c>
    </row>
    <row r="268" s="11">
      <c r="M268" s="71">
        <f>K268-L268</f>
        <v/>
      </c>
      <c r="N268" s="71">
        <f>M268*Settings!$B$12</f>
        <v/>
      </c>
      <c r="O268" s="71">
        <f>M268+N268</f>
        <v/>
      </c>
      <c r="Q268" s="71">
        <f>O268-P268</f>
        <v/>
      </c>
      <c r="U268" s="70">
        <f>IF(R268="Paid",0,IF(TODAY()&gt;G268,TODAY()-G268,0))</f>
        <v/>
      </c>
    </row>
    <row r="269" s="11">
      <c r="M269" s="71">
        <f>K269-L269</f>
        <v/>
      </c>
      <c r="N269" s="71">
        <f>M269*Settings!$B$12</f>
        <v/>
      </c>
      <c r="O269" s="71">
        <f>M269+N269</f>
        <v/>
      </c>
      <c r="Q269" s="71">
        <f>O269-P269</f>
        <v/>
      </c>
      <c r="U269" s="70">
        <f>IF(R269="Paid",0,IF(TODAY()&gt;G269,TODAY()-G269,0))</f>
        <v/>
      </c>
    </row>
    <row r="270" s="11">
      <c r="M270" s="71">
        <f>K270-L270</f>
        <v/>
      </c>
      <c r="N270" s="71">
        <f>M270*Settings!$B$12</f>
        <v/>
      </c>
      <c r="O270" s="71">
        <f>M270+N270</f>
        <v/>
      </c>
      <c r="Q270" s="71">
        <f>O270-P270</f>
        <v/>
      </c>
      <c r="U270" s="70">
        <f>IF(R270="Paid",0,IF(TODAY()&gt;G270,TODAY()-G270,0))</f>
        <v/>
      </c>
    </row>
    <row r="271" s="11">
      <c r="M271" s="71">
        <f>K271-L271</f>
        <v/>
      </c>
      <c r="N271" s="71">
        <f>M271*Settings!$B$12</f>
        <v/>
      </c>
      <c r="O271" s="71">
        <f>M271+N271</f>
        <v/>
      </c>
      <c r="Q271" s="71">
        <f>O271-P271</f>
        <v/>
      </c>
      <c r="U271" s="70">
        <f>IF(R271="Paid",0,IF(TODAY()&gt;G271,TODAY()-G271,0))</f>
        <v/>
      </c>
    </row>
    <row r="272" s="11">
      <c r="M272" s="71">
        <f>K272-L272</f>
        <v/>
      </c>
      <c r="N272" s="71">
        <f>M272*Settings!$B$12</f>
        <v/>
      </c>
      <c r="O272" s="71">
        <f>M272+N272</f>
        <v/>
      </c>
      <c r="Q272" s="71">
        <f>O272-P272</f>
        <v/>
      </c>
      <c r="U272" s="70">
        <f>IF(R272="Paid",0,IF(TODAY()&gt;G272,TODAY()-G272,0))</f>
        <v/>
      </c>
    </row>
    <row r="273" s="11">
      <c r="M273" s="71">
        <f>K273-L273</f>
        <v/>
      </c>
      <c r="N273" s="71">
        <f>M273*Settings!$B$12</f>
        <v/>
      </c>
      <c r="O273" s="71">
        <f>M273+N273</f>
        <v/>
      </c>
      <c r="Q273" s="71">
        <f>O273-P273</f>
        <v/>
      </c>
      <c r="U273" s="70">
        <f>IF(R273="Paid",0,IF(TODAY()&gt;G273,TODAY()-G273,0))</f>
        <v/>
      </c>
    </row>
    <row r="274" s="11">
      <c r="M274" s="71">
        <f>K274-L274</f>
        <v/>
      </c>
      <c r="N274" s="71">
        <f>M274*Settings!$B$12</f>
        <v/>
      </c>
      <c r="O274" s="71">
        <f>M274+N274</f>
        <v/>
      </c>
      <c r="Q274" s="71">
        <f>O274-P274</f>
        <v/>
      </c>
      <c r="U274" s="70">
        <f>IF(R274="Paid",0,IF(TODAY()&gt;G274,TODAY()-G274,0))</f>
        <v/>
      </c>
    </row>
    <row r="275" s="11">
      <c r="M275" s="71">
        <f>K275-L275</f>
        <v/>
      </c>
      <c r="N275" s="71">
        <f>M275*Settings!$B$12</f>
        <v/>
      </c>
      <c r="O275" s="71">
        <f>M275+N275</f>
        <v/>
      </c>
      <c r="Q275" s="71">
        <f>O275-P275</f>
        <v/>
      </c>
      <c r="U275" s="70">
        <f>IF(R275="Paid",0,IF(TODAY()&gt;G275,TODAY()-G275,0))</f>
        <v/>
      </c>
    </row>
    <row r="276" s="11">
      <c r="M276" s="71">
        <f>K276-L276</f>
        <v/>
      </c>
      <c r="N276" s="71">
        <f>M276*Settings!$B$12</f>
        <v/>
      </c>
      <c r="O276" s="71">
        <f>M276+N276</f>
        <v/>
      </c>
      <c r="Q276" s="71">
        <f>O276-P276</f>
        <v/>
      </c>
      <c r="U276" s="70">
        <f>IF(R276="Paid",0,IF(TODAY()&gt;G276,TODAY()-G276,0))</f>
        <v/>
      </c>
    </row>
    <row r="277" s="11">
      <c r="M277" s="71">
        <f>K277-L277</f>
        <v/>
      </c>
      <c r="N277" s="71">
        <f>M277*Settings!$B$12</f>
        <v/>
      </c>
      <c r="O277" s="71">
        <f>M277+N277</f>
        <v/>
      </c>
      <c r="Q277" s="71">
        <f>O277-P277</f>
        <v/>
      </c>
      <c r="U277" s="70">
        <f>IF(R277="Paid",0,IF(TODAY()&gt;G277,TODAY()-G277,0))</f>
        <v/>
      </c>
    </row>
    <row r="278" s="11">
      <c r="M278" s="71">
        <f>K278-L278</f>
        <v/>
      </c>
      <c r="N278" s="71">
        <f>M278*Settings!$B$12</f>
        <v/>
      </c>
      <c r="O278" s="71">
        <f>M278+N278</f>
        <v/>
      </c>
      <c r="Q278" s="71">
        <f>O278-P278</f>
        <v/>
      </c>
      <c r="U278" s="70">
        <f>IF(R278="Paid",0,IF(TODAY()&gt;G278,TODAY()-G278,0))</f>
        <v/>
      </c>
    </row>
    <row r="279" s="11">
      <c r="M279" s="71">
        <f>K279-L279</f>
        <v/>
      </c>
      <c r="N279" s="71">
        <f>M279*Settings!$B$12</f>
        <v/>
      </c>
      <c r="O279" s="71">
        <f>M279+N279</f>
        <v/>
      </c>
      <c r="Q279" s="71">
        <f>O279-P279</f>
        <v/>
      </c>
      <c r="U279" s="70">
        <f>IF(R279="Paid",0,IF(TODAY()&gt;G279,TODAY()-G279,0))</f>
        <v/>
      </c>
    </row>
    <row r="280" s="11">
      <c r="M280" s="71">
        <f>K280-L280</f>
        <v/>
      </c>
      <c r="N280" s="71">
        <f>M280*Settings!$B$12</f>
        <v/>
      </c>
      <c r="O280" s="71">
        <f>M280+N280</f>
        <v/>
      </c>
      <c r="Q280" s="71">
        <f>O280-P280</f>
        <v/>
      </c>
      <c r="U280" s="70">
        <f>IF(R280="Paid",0,IF(TODAY()&gt;G280,TODAY()-G280,0))</f>
        <v/>
      </c>
    </row>
    <row r="281" s="11">
      <c r="M281" s="71">
        <f>K281-L281</f>
        <v/>
      </c>
      <c r="N281" s="71">
        <f>M281*Settings!$B$12</f>
        <v/>
      </c>
      <c r="O281" s="71">
        <f>M281+N281</f>
        <v/>
      </c>
      <c r="Q281" s="71">
        <f>O281-P281</f>
        <v/>
      </c>
      <c r="U281" s="70">
        <f>IF(R281="Paid",0,IF(TODAY()&gt;G281,TODAY()-G281,0))</f>
        <v/>
      </c>
    </row>
    <row r="282" s="11">
      <c r="M282" s="71">
        <f>K282-L282</f>
        <v/>
      </c>
      <c r="N282" s="71">
        <f>M282*Settings!$B$12</f>
        <v/>
      </c>
      <c r="O282" s="71">
        <f>M282+N282</f>
        <v/>
      </c>
      <c r="Q282" s="71">
        <f>O282-P282</f>
        <v/>
      </c>
      <c r="U282" s="70">
        <f>IF(R282="Paid",0,IF(TODAY()&gt;G282,TODAY()-G282,0))</f>
        <v/>
      </c>
    </row>
    <row r="283" s="11">
      <c r="M283" s="71">
        <f>K283-L283</f>
        <v/>
      </c>
      <c r="N283" s="71">
        <f>M283*Settings!$B$12</f>
        <v/>
      </c>
      <c r="O283" s="71">
        <f>M283+N283</f>
        <v/>
      </c>
      <c r="Q283" s="71">
        <f>O283-P283</f>
        <v/>
      </c>
      <c r="U283" s="70">
        <f>IF(R283="Paid",0,IF(TODAY()&gt;G283,TODAY()-G283,0))</f>
        <v/>
      </c>
    </row>
    <row r="284" s="11">
      <c r="M284" s="71">
        <f>K284-L284</f>
        <v/>
      </c>
      <c r="N284" s="71">
        <f>M284*Settings!$B$12</f>
        <v/>
      </c>
      <c r="O284" s="71">
        <f>M284+N284</f>
        <v/>
      </c>
      <c r="Q284" s="71">
        <f>O284-P284</f>
        <v/>
      </c>
      <c r="U284" s="70">
        <f>IF(R284="Paid",0,IF(TODAY()&gt;G284,TODAY()-G284,0))</f>
        <v/>
      </c>
    </row>
    <row r="285" s="11">
      <c r="M285" s="71">
        <f>K285-L285</f>
        <v/>
      </c>
      <c r="N285" s="71">
        <f>M285*Settings!$B$12</f>
        <v/>
      </c>
      <c r="O285" s="71">
        <f>M285+N285</f>
        <v/>
      </c>
      <c r="Q285" s="71">
        <f>O285-P285</f>
        <v/>
      </c>
      <c r="U285" s="70">
        <f>IF(R285="Paid",0,IF(TODAY()&gt;G285,TODAY()-G285,0))</f>
        <v/>
      </c>
    </row>
    <row r="286" s="11">
      <c r="M286" s="71">
        <f>K286-L286</f>
        <v/>
      </c>
      <c r="N286" s="71">
        <f>M286*Settings!$B$12</f>
        <v/>
      </c>
      <c r="O286" s="71">
        <f>M286+N286</f>
        <v/>
      </c>
      <c r="Q286" s="71">
        <f>O286-P286</f>
        <v/>
      </c>
      <c r="U286" s="70">
        <f>IF(R286="Paid",0,IF(TODAY()&gt;G286,TODAY()-G286,0))</f>
        <v/>
      </c>
    </row>
    <row r="287" s="11">
      <c r="M287" s="71">
        <f>K287-L287</f>
        <v/>
      </c>
      <c r="N287" s="71">
        <f>M287*Settings!$B$12</f>
        <v/>
      </c>
      <c r="O287" s="71">
        <f>M287+N287</f>
        <v/>
      </c>
      <c r="Q287" s="71">
        <f>O287-P287</f>
        <v/>
      </c>
      <c r="U287" s="70">
        <f>IF(R287="Paid",0,IF(TODAY()&gt;G287,TODAY()-G287,0))</f>
        <v/>
      </c>
    </row>
    <row r="288" s="11">
      <c r="M288" s="71">
        <f>K288-L288</f>
        <v/>
      </c>
      <c r="N288" s="71">
        <f>M288*Settings!$B$12</f>
        <v/>
      </c>
      <c r="O288" s="71">
        <f>M288+N288</f>
        <v/>
      </c>
      <c r="Q288" s="71">
        <f>O288-P288</f>
        <v/>
      </c>
      <c r="U288" s="70">
        <f>IF(R288="Paid",0,IF(TODAY()&gt;G288,TODAY()-G288,0))</f>
        <v/>
      </c>
    </row>
    <row r="289" s="11">
      <c r="M289" s="71">
        <f>K289-L289</f>
        <v/>
      </c>
      <c r="N289" s="71">
        <f>M289*Settings!$B$12</f>
        <v/>
      </c>
      <c r="O289" s="71">
        <f>M289+N289</f>
        <v/>
      </c>
      <c r="Q289" s="71">
        <f>O289-P289</f>
        <v/>
      </c>
      <c r="U289" s="70">
        <f>IF(R289="Paid",0,IF(TODAY()&gt;G289,TODAY()-G289,0))</f>
        <v/>
      </c>
    </row>
    <row r="290" s="11">
      <c r="M290" s="71">
        <f>K290-L290</f>
        <v/>
      </c>
      <c r="N290" s="71">
        <f>M290*Settings!$B$12</f>
        <v/>
      </c>
      <c r="O290" s="71">
        <f>M290+N290</f>
        <v/>
      </c>
      <c r="Q290" s="71">
        <f>O290-P290</f>
        <v/>
      </c>
      <c r="U290" s="70">
        <f>IF(R290="Paid",0,IF(TODAY()&gt;G290,TODAY()-G290,0))</f>
        <v/>
      </c>
    </row>
    <row r="291" s="11">
      <c r="M291" s="71">
        <f>K291-L291</f>
        <v/>
      </c>
      <c r="N291" s="71">
        <f>M291*Settings!$B$12</f>
        <v/>
      </c>
      <c r="O291" s="71">
        <f>M291+N291</f>
        <v/>
      </c>
      <c r="Q291" s="71">
        <f>O291-P291</f>
        <v/>
      </c>
      <c r="U291" s="70">
        <f>IF(R291="Paid",0,IF(TODAY()&gt;G291,TODAY()-G291,0))</f>
        <v/>
      </c>
    </row>
    <row r="292" s="11">
      <c r="M292" s="71">
        <f>K292-L292</f>
        <v/>
      </c>
      <c r="N292" s="71">
        <f>M292*Settings!$B$12</f>
        <v/>
      </c>
      <c r="O292" s="71">
        <f>M292+N292</f>
        <v/>
      </c>
      <c r="Q292" s="71">
        <f>O292-P292</f>
        <v/>
      </c>
      <c r="U292" s="70">
        <f>IF(R292="Paid",0,IF(TODAY()&gt;G292,TODAY()-G292,0))</f>
        <v/>
      </c>
    </row>
    <row r="293" s="11">
      <c r="M293" s="71">
        <f>K293-L293</f>
        <v/>
      </c>
      <c r="N293" s="71">
        <f>M293*Settings!$B$12</f>
        <v/>
      </c>
      <c r="O293" s="71">
        <f>M293+N293</f>
        <v/>
      </c>
      <c r="Q293" s="71">
        <f>O293-P293</f>
        <v/>
      </c>
      <c r="U293" s="70">
        <f>IF(R293="Paid",0,IF(TODAY()&gt;G293,TODAY()-G293,0))</f>
        <v/>
      </c>
    </row>
    <row r="294" s="11">
      <c r="M294" s="71">
        <f>K294-L294</f>
        <v/>
      </c>
      <c r="N294" s="71">
        <f>M294*Settings!$B$12</f>
        <v/>
      </c>
      <c r="O294" s="71">
        <f>M294+N294</f>
        <v/>
      </c>
      <c r="Q294" s="71">
        <f>O294-P294</f>
        <v/>
      </c>
      <c r="U294" s="70">
        <f>IF(R294="Paid",0,IF(TODAY()&gt;G294,TODAY()-G294,0))</f>
        <v/>
      </c>
    </row>
    <row r="295" s="11">
      <c r="M295" s="71">
        <f>K295-L295</f>
        <v/>
      </c>
      <c r="N295" s="71">
        <f>M295*Settings!$B$12</f>
        <v/>
      </c>
      <c r="O295" s="71">
        <f>M295+N295</f>
        <v/>
      </c>
      <c r="Q295" s="71">
        <f>O295-P295</f>
        <v/>
      </c>
      <c r="U295" s="70">
        <f>IF(R295="Paid",0,IF(TODAY()&gt;G295,TODAY()-G295,0))</f>
        <v/>
      </c>
    </row>
    <row r="296" s="11">
      <c r="M296" s="71">
        <f>K296-L296</f>
        <v/>
      </c>
      <c r="N296" s="71">
        <f>M296*Settings!$B$12</f>
        <v/>
      </c>
      <c r="O296" s="71">
        <f>M296+N296</f>
        <v/>
      </c>
      <c r="Q296" s="71">
        <f>O296-P296</f>
        <v/>
      </c>
      <c r="U296" s="70">
        <f>IF(R296="Paid",0,IF(TODAY()&gt;G296,TODAY()-G296,0))</f>
        <v/>
      </c>
    </row>
    <row r="297" s="11">
      <c r="M297" s="71">
        <f>K297-L297</f>
        <v/>
      </c>
      <c r="N297" s="71">
        <f>M297*Settings!$B$12</f>
        <v/>
      </c>
      <c r="O297" s="71">
        <f>M297+N297</f>
        <v/>
      </c>
      <c r="Q297" s="71">
        <f>O297-P297</f>
        <v/>
      </c>
      <c r="U297" s="70">
        <f>IF(R297="Paid",0,IF(TODAY()&gt;G297,TODAY()-G297,0))</f>
        <v/>
      </c>
    </row>
    <row r="298" s="11">
      <c r="M298" s="71">
        <f>K298-L298</f>
        <v/>
      </c>
      <c r="N298" s="71">
        <f>M298*Settings!$B$12</f>
        <v/>
      </c>
      <c r="O298" s="71">
        <f>M298+N298</f>
        <v/>
      </c>
      <c r="Q298" s="71">
        <f>O298-P298</f>
        <v/>
      </c>
      <c r="U298" s="70">
        <f>IF(R298="Paid",0,IF(TODAY()&gt;G298,TODAY()-G298,0))</f>
        <v/>
      </c>
    </row>
    <row r="299" s="11">
      <c r="M299" s="71">
        <f>K299-L299</f>
        <v/>
      </c>
      <c r="N299" s="71">
        <f>M299*Settings!$B$12</f>
        <v/>
      </c>
      <c r="O299" s="71">
        <f>M299+N299</f>
        <v/>
      </c>
      <c r="Q299" s="71">
        <f>O299-P299</f>
        <v/>
      </c>
      <c r="U299" s="70">
        <f>IF(R299="Paid",0,IF(TODAY()&gt;G299,TODAY()-G299,0))</f>
        <v/>
      </c>
    </row>
    <row r="300" s="11">
      <c r="M300" s="71">
        <f>K300-L300</f>
        <v/>
      </c>
      <c r="N300" s="71">
        <f>M300*Settings!$B$12</f>
        <v/>
      </c>
      <c r="O300" s="71">
        <f>M300+N300</f>
        <v/>
      </c>
      <c r="Q300" s="71">
        <f>O300-P300</f>
        <v/>
      </c>
      <c r="U300" s="70">
        <f>IF(R300="Paid",0,IF(TODAY()&gt;G300,TODAY()-G300,0))</f>
        <v/>
      </c>
    </row>
    <row r="301" s="11">
      <c r="M301" s="71">
        <f>K301-L301</f>
        <v/>
      </c>
      <c r="N301" s="71">
        <f>M301*Settings!$B$12</f>
        <v/>
      </c>
      <c r="O301" s="71">
        <f>M301+N301</f>
        <v/>
      </c>
      <c r="Q301" s="71">
        <f>O301-P301</f>
        <v/>
      </c>
      <c r="U301" s="70">
        <f>IF(R301="Paid",0,IF(TODAY()&gt;G301,TODAY()-G301,0))</f>
        <v/>
      </c>
    </row>
    <row r="302" s="11">
      <c r="M302" s="71">
        <f>K302-L302</f>
        <v/>
      </c>
      <c r="N302" s="71">
        <f>M302*Settings!$B$12</f>
        <v/>
      </c>
      <c r="O302" s="71">
        <f>M302+N302</f>
        <v/>
      </c>
      <c r="Q302" s="71">
        <f>O302-P302</f>
        <v/>
      </c>
      <c r="U302" s="70">
        <f>IF(R302="Paid",0,IF(TODAY()&gt;G302,TODAY()-G302,0))</f>
        <v/>
      </c>
    </row>
    <row r="303" s="11">
      <c r="M303" s="71">
        <f>K303-L303</f>
        <v/>
      </c>
      <c r="N303" s="71">
        <f>M303*Settings!$B$12</f>
        <v/>
      </c>
      <c r="O303" s="71">
        <f>M303+N303</f>
        <v/>
      </c>
      <c r="Q303" s="71">
        <f>O303-P303</f>
        <v/>
      </c>
      <c r="U303" s="70">
        <f>IF(R303="Paid",0,IF(TODAY()&gt;G303,TODAY()-G303,0))</f>
        <v/>
      </c>
    </row>
    <row r="304" s="11">
      <c r="M304" s="71">
        <f>K304-L304</f>
        <v/>
      </c>
      <c r="N304" s="71">
        <f>M304*Settings!$B$12</f>
        <v/>
      </c>
      <c r="O304" s="71">
        <f>M304+N304</f>
        <v/>
      </c>
      <c r="Q304" s="71">
        <f>O304-P304</f>
        <v/>
      </c>
      <c r="U304" s="70">
        <f>IF(R304="Paid",0,IF(TODAY()&gt;G304,TODAY()-G304,0))</f>
        <v/>
      </c>
    </row>
    <row r="305" s="11">
      <c r="M305" s="71">
        <f>K305-L305</f>
        <v/>
      </c>
      <c r="N305" s="71">
        <f>M305*Settings!$B$12</f>
        <v/>
      </c>
      <c r="O305" s="71">
        <f>M305+N305</f>
        <v/>
      </c>
      <c r="Q305" s="71">
        <f>O305-P305</f>
        <v/>
      </c>
      <c r="U305" s="70">
        <f>IF(R305="Paid",0,IF(TODAY()&gt;G305,TODAY()-G305,0))</f>
        <v/>
      </c>
    </row>
    <row r="306" s="11">
      <c r="M306" s="71">
        <f>K306-L306</f>
        <v/>
      </c>
      <c r="N306" s="71">
        <f>M306*Settings!$B$12</f>
        <v/>
      </c>
      <c r="O306" s="71">
        <f>M306+N306</f>
        <v/>
      </c>
      <c r="Q306" s="71">
        <f>O306-P306</f>
        <v/>
      </c>
      <c r="U306" s="70">
        <f>IF(R306="Paid",0,IF(TODAY()&gt;G306,TODAY()-G306,0))</f>
        <v/>
      </c>
    </row>
    <row r="307" s="11">
      <c r="M307" s="71">
        <f>K307-L307</f>
        <v/>
      </c>
      <c r="N307" s="71">
        <f>M307*Settings!$B$12</f>
        <v/>
      </c>
      <c r="O307" s="71">
        <f>M307+N307</f>
        <v/>
      </c>
      <c r="Q307" s="71">
        <f>O307-P307</f>
        <v/>
      </c>
      <c r="U307" s="70">
        <f>IF(R307="Paid",0,IF(TODAY()&gt;G307,TODAY()-G307,0))</f>
        <v/>
      </c>
    </row>
    <row r="308" s="11">
      <c r="M308" s="71">
        <f>K308-L308</f>
        <v/>
      </c>
      <c r="N308" s="71">
        <f>M308*Settings!$B$12</f>
        <v/>
      </c>
      <c r="O308" s="71">
        <f>M308+N308</f>
        <v/>
      </c>
      <c r="Q308" s="71">
        <f>O308-P308</f>
        <v/>
      </c>
      <c r="U308" s="70">
        <f>IF(R308="Paid",0,IF(TODAY()&gt;G308,TODAY()-G308,0))</f>
        <v/>
      </c>
    </row>
    <row r="309" s="11">
      <c r="M309" s="71">
        <f>K309-L309</f>
        <v/>
      </c>
      <c r="N309" s="71">
        <f>M309*Settings!$B$12</f>
        <v/>
      </c>
      <c r="O309" s="71">
        <f>M309+N309</f>
        <v/>
      </c>
      <c r="Q309" s="71">
        <f>O309-P309</f>
        <v/>
      </c>
      <c r="U309" s="70">
        <f>IF(R309="Paid",0,IF(TODAY()&gt;G309,TODAY()-G309,0))</f>
        <v/>
      </c>
    </row>
    <row r="310" s="11">
      <c r="M310" s="71">
        <f>K310-L310</f>
        <v/>
      </c>
      <c r="N310" s="71">
        <f>M310*Settings!$B$12</f>
        <v/>
      </c>
      <c r="O310" s="71">
        <f>M310+N310</f>
        <v/>
      </c>
      <c r="Q310" s="71">
        <f>O310-P310</f>
        <v/>
      </c>
      <c r="U310" s="70">
        <f>IF(R310="Paid",0,IF(TODAY()&gt;G310,TODAY()-G310,0))</f>
        <v/>
      </c>
    </row>
    <row r="311" s="11">
      <c r="M311" s="71">
        <f>K311-L311</f>
        <v/>
      </c>
      <c r="N311" s="71">
        <f>M311*Settings!$B$12</f>
        <v/>
      </c>
      <c r="O311" s="71">
        <f>M311+N311</f>
        <v/>
      </c>
      <c r="Q311" s="71">
        <f>O311-P311</f>
        <v/>
      </c>
      <c r="U311" s="70">
        <f>IF(R311="Paid",0,IF(TODAY()&gt;G311,TODAY()-G311,0))</f>
        <v/>
      </c>
    </row>
    <row r="312" s="11">
      <c r="M312" s="71">
        <f>K312-L312</f>
        <v/>
      </c>
      <c r="N312" s="71">
        <f>M312*Settings!$B$12</f>
        <v/>
      </c>
      <c r="O312" s="71">
        <f>M312+N312</f>
        <v/>
      </c>
      <c r="Q312" s="71">
        <f>O312-P312</f>
        <v/>
      </c>
      <c r="U312" s="70">
        <f>IF(R312="Paid",0,IF(TODAY()&gt;G312,TODAY()-G312,0))</f>
        <v/>
      </c>
    </row>
    <row r="313" s="11">
      <c r="M313" s="71">
        <f>K313-L313</f>
        <v/>
      </c>
      <c r="N313" s="71">
        <f>M313*Settings!$B$12</f>
        <v/>
      </c>
      <c r="O313" s="71">
        <f>M313+N313</f>
        <v/>
      </c>
      <c r="Q313" s="71">
        <f>O313-P313</f>
        <v/>
      </c>
      <c r="U313" s="70">
        <f>IF(R313="Paid",0,IF(TODAY()&gt;G313,TODAY()-G313,0))</f>
        <v/>
      </c>
    </row>
    <row r="314" s="11">
      <c r="M314" s="71">
        <f>K314-L314</f>
        <v/>
      </c>
      <c r="N314" s="71">
        <f>M314*Settings!$B$12</f>
        <v/>
      </c>
      <c r="O314" s="71">
        <f>M314+N314</f>
        <v/>
      </c>
      <c r="Q314" s="71">
        <f>O314-P314</f>
        <v/>
      </c>
      <c r="U314" s="70">
        <f>IF(R314="Paid",0,IF(TODAY()&gt;G314,TODAY()-G314,0))</f>
        <v/>
      </c>
    </row>
    <row r="315" s="11">
      <c r="M315" s="71">
        <f>K315-L315</f>
        <v/>
      </c>
      <c r="N315" s="71">
        <f>M315*Settings!$B$12</f>
        <v/>
      </c>
      <c r="O315" s="71">
        <f>M315+N315</f>
        <v/>
      </c>
      <c r="Q315" s="71">
        <f>O315-P315</f>
        <v/>
      </c>
      <c r="U315" s="70">
        <f>IF(R315="Paid",0,IF(TODAY()&gt;G315,TODAY()-G315,0))</f>
        <v/>
      </c>
    </row>
    <row r="316" s="11">
      <c r="M316" s="71">
        <f>K316-L316</f>
        <v/>
      </c>
      <c r="N316" s="71">
        <f>M316*Settings!$B$12</f>
        <v/>
      </c>
      <c r="O316" s="71">
        <f>M316+N316</f>
        <v/>
      </c>
      <c r="Q316" s="71">
        <f>O316-P316</f>
        <v/>
      </c>
      <c r="U316" s="70">
        <f>IF(R316="Paid",0,IF(TODAY()&gt;G316,TODAY()-G316,0))</f>
        <v/>
      </c>
    </row>
    <row r="317" s="11">
      <c r="M317" s="71">
        <f>K317-L317</f>
        <v/>
      </c>
      <c r="N317" s="71">
        <f>M317*Settings!$B$12</f>
        <v/>
      </c>
      <c r="O317" s="71">
        <f>M317+N317</f>
        <v/>
      </c>
      <c r="Q317" s="71">
        <f>O317-P317</f>
        <v/>
      </c>
      <c r="U317" s="70">
        <f>IF(R317="Paid",0,IF(TODAY()&gt;G317,TODAY()-G317,0))</f>
        <v/>
      </c>
    </row>
    <row r="318" s="11">
      <c r="M318" s="71">
        <f>K318-L318</f>
        <v/>
      </c>
      <c r="N318" s="71">
        <f>M318*Settings!$B$12</f>
        <v/>
      </c>
      <c r="O318" s="71">
        <f>M318+N318</f>
        <v/>
      </c>
      <c r="Q318" s="71">
        <f>O318-P318</f>
        <v/>
      </c>
      <c r="U318" s="70">
        <f>IF(R318="Paid",0,IF(TODAY()&gt;G318,TODAY()-G318,0))</f>
        <v/>
      </c>
    </row>
    <row r="319" s="11">
      <c r="M319" s="71">
        <f>K319-L319</f>
        <v/>
      </c>
      <c r="N319" s="71">
        <f>M319*Settings!$B$12</f>
        <v/>
      </c>
      <c r="O319" s="71">
        <f>M319+N319</f>
        <v/>
      </c>
      <c r="Q319" s="71">
        <f>O319-P319</f>
        <v/>
      </c>
      <c r="U319" s="70">
        <f>IF(R319="Paid",0,IF(TODAY()&gt;G319,TODAY()-G319,0))</f>
        <v/>
      </c>
    </row>
    <row r="320" s="11">
      <c r="M320" s="71">
        <f>K320-L320</f>
        <v/>
      </c>
      <c r="N320" s="71">
        <f>M320*Settings!$B$12</f>
        <v/>
      </c>
      <c r="O320" s="71">
        <f>M320+N320</f>
        <v/>
      </c>
      <c r="Q320" s="71">
        <f>O320-P320</f>
        <v/>
      </c>
      <c r="U320" s="70">
        <f>IF(R320="Paid",0,IF(TODAY()&gt;G320,TODAY()-G320,0))</f>
        <v/>
      </c>
    </row>
    <row r="321" s="11">
      <c r="M321" s="71">
        <f>K321-L321</f>
        <v/>
      </c>
      <c r="N321" s="71">
        <f>M321*Settings!$B$12</f>
        <v/>
      </c>
      <c r="O321" s="71">
        <f>M321+N321</f>
        <v/>
      </c>
      <c r="Q321" s="71">
        <f>O321-P321</f>
        <v/>
      </c>
      <c r="U321" s="70">
        <f>IF(R321="Paid",0,IF(TODAY()&gt;G321,TODAY()-G321,0))</f>
        <v/>
      </c>
    </row>
    <row r="322" s="11">
      <c r="M322" s="71">
        <f>K322-L322</f>
        <v/>
      </c>
      <c r="N322" s="71">
        <f>M322*Settings!$B$12</f>
        <v/>
      </c>
      <c r="O322" s="71">
        <f>M322+N322</f>
        <v/>
      </c>
      <c r="Q322" s="71">
        <f>O322-P322</f>
        <v/>
      </c>
      <c r="U322" s="70">
        <f>IF(R322="Paid",0,IF(TODAY()&gt;G322,TODAY()-G322,0))</f>
        <v/>
      </c>
    </row>
    <row r="323" s="11">
      <c r="M323" s="71">
        <f>K323-L323</f>
        <v/>
      </c>
      <c r="N323" s="71">
        <f>M323*Settings!$B$12</f>
        <v/>
      </c>
      <c r="O323" s="71">
        <f>M323+N323</f>
        <v/>
      </c>
      <c r="Q323" s="71">
        <f>O323-P323</f>
        <v/>
      </c>
      <c r="U323" s="70">
        <f>IF(R323="Paid",0,IF(TODAY()&gt;G323,TODAY()-G323,0))</f>
        <v/>
      </c>
    </row>
    <row r="324" s="11">
      <c r="M324" s="71">
        <f>K324-L324</f>
        <v/>
      </c>
      <c r="N324" s="71">
        <f>M324*Settings!$B$12</f>
        <v/>
      </c>
      <c r="O324" s="71">
        <f>M324+N324</f>
        <v/>
      </c>
      <c r="Q324" s="71">
        <f>O324-P324</f>
        <v/>
      </c>
      <c r="U324" s="70">
        <f>IF(R324="Paid",0,IF(TODAY()&gt;G324,TODAY()-G324,0))</f>
        <v/>
      </c>
    </row>
    <row r="325" s="11">
      <c r="M325" s="71">
        <f>K325-L325</f>
        <v/>
      </c>
      <c r="N325" s="71">
        <f>M325*Settings!$B$12</f>
        <v/>
      </c>
      <c r="O325" s="71">
        <f>M325+N325</f>
        <v/>
      </c>
      <c r="Q325" s="71">
        <f>O325-P325</f>
        <v/>
      </c>
      <c r="U325" s="70">
        <f>IF(R325="Paid",0,IF(TODAY()&gt;G325,TODAY()-G325,0))</f>
        <v/>
      </c>
    </row>
    <row r="326" s="11">
      <c r="M326" s="71">
        <f>K326-L326</f>
        <v/>
      </c>
      <c r="N326" s="71">
        <f>M326*Settings!$B$12</f>
        <v/>
      </c>
      <c r="O326" s="71">
        <f>M326+N326</f>
        <v/>
      </c>
      <c r="Q326" s="71">
        <f>O326-P326</f>
        <v/>
      </c>
      <c r="U326" s="70">
        <f>IF(R326="Paid",0,IF(TODAY()&gt;G326,TODAY()-G326,0))</f>
        <v/>
      </c>
    </row>
    <row r="327" s="11">
      <c r="M327" s="71">
        <f>K327-L327</f>
        <v/>
      </c>
      <c r="N327" s="71">
        <f>M327*Settings!$B$12</f>
        <v/>
      </c>
      <c r="O327" s="71">
        <f>M327+N327</f>
        <v/>
      </c>
      <c r="Q327" s="71">
        <f>O327-P327</f>
        <v/>
      </c>
      <c r="U327" s="70">
        <f>IF(R327="Paid",0,IF(TODAY()&gt;G327,TODAY()-G327,0))</f>
        <v/>
      </c>
    </row>
    <row r="328" s="11">
      <c r="M328" s="71">
        <f>K328-L328</f>
        <v/>
      </c>
      <c r="N328" s="71">
        <f>M328*Settings!$B$12</f>
        <v/>
      </c>
      <c r="O328" s="71">
        <f>M328+N328</f>
        <v/>
      </c>
      <c r="Q328" s="71">
        <f>O328-P328</f>
        <v/>
      </c>
      <c r="U328" s="70">
        <f>IF(R328="Paid",0,IF(TODAY()&gt;G328,TODAY()-G328,0))</f>
        <v/>
      </c>
    </row>
    <row r="329" s="11">
      <c r="M329" s="71">
        <f>K329-L329</f>
        <v/>
      </c>
      <c r="N329" s="71">
        <f>M329*Settings!$B$12</f>
        <v/>
      </c>
      <c r="O329" s="71">
        <f>M329+N329</f>
        <v/>
      </c>
      <c r="Q329" s="71">
        <f>O329-P329</f>
        <v/>
      </c>
      <c r="U329" s="70">
        <f>IF(R329="Paid",0,IF(TODAY()&gt;G329,TODAY()-G329,0))</f>
        <v/>
      </c>
    </row>
    <row r="330" s="11">
      <c r="M330" s="71">
        <f>K330-L330</f>
        <v/>
      </c>
      <c r="N330" s="71">
        <f>M330*Settings!$B$12</f>
        <v/>
      </c>
      <c r="O330" s="71">
        <f>M330+N330</f>
        <v/>
      </c>
      <c r="Q330" s="71">
        <f>O330-P330</f>
        <v/>
      </c>
      <c r="U330" s="70">
        <f>IF(R330="Paid",0,IF(TODAY()&gt;G330,TODAY()-G330,0))</f>
        <v/>
      </c>
    </row>
    <row r="331" s="11">
      <c r="M331" s="71">
        <f>K331-L331</f>
        <v/>
      </c>
      <c r="N331" s="71">
        <f>M331*Settings!$B$12</f>
        <v/>
      </c>
      <c r="O331" s="71">
        <f>M331+N331</f>
        <v/>
      </c>
      <c r="Q331" s="71">
        <f>O331-P331</f>
        <v/>
      </c>
      <c r="U331" s="70">
        <f>IF(R331="Paid",0,IF(TODAY()&gt;G331,TODAY()-G331,0))</f>
        <v/>
      </c>
    </row>
    <row r="332" s="11">
      <c r="M332" s="71">
        <f>K332-L332</f>
        <v/>
      </c>
      <c r="N332" s="71">
        <f>M332*Settings!$B$12</f>
        <v/>
      </c>
      <c r="O332" s="71">
        <f>M332+N332</f>
        <v/>
      </c>
      <c r="Q332" s="71">
        <f>O332-P332</f>
        <v/>
      </c>
      <c r="U332" s="70">
        <f>IF(R332="Paid",0,IF(TODAY()&gt;G332,TODAY()-G332,0))</f>
        <v/>
      </c>
    </row>
    <row r="333" s="11">
      <c r="M333" s="71">
        <f>K333-L333</f>
        <v/>
      </c>
      <c r="N333" s="71">
        <f>M333*Settings!$B$12</f>
        <v/>
      </c>
      <c r="O333" s="71">
        <f>M333+N333</f>
        <v/>
      </c>
      <c r="Q333" s="71">
        <f>O333-P333</f>
        <v/>
      </c>
      <c r="U333" s="70">
        <f>IF(R333="Paid",0,IF(TODAY()&gt;G333,TODAY()-G333,0))</f>
        <v/>
      </c>
    </row>
    <row r="334" s="11">
      <c r="M334" s="71">
        <f>K334-L334</f>
        <v/>
      </c>
      <c r="N334" s="71">
        <f>M334*Settings!$B$12</f>
        <v/>
      </c>
      <c r="O334" s="71">
        <f>M334+N334</f>
        <v/>
      </c>
      <c r="Q334" s="71">
        <f>O334-P334</f>
        <v/>
      </c>
      <c r="U334" s="70">
        <f>IF(R334="Paid",0,IF(TODAY()&gt;G334,TODAY()-G334,0))</f>
        <v/>
      </c>
    </row>
    <row r="335" s="11">
      <c r="M335" s="71">
        <f>K335-L335</f>
        <v/>
      </c>
      <c r="N335" s="71">
        <f>M335*Settings!$B$12</f>
        <v/>
      </c>
      <c r="O335" s="71">
        <f>M335+N335</f>
        <v/>
      </c>
      <c r="Q335" s="71">
        <f>O335-P335</f>
        <v/>
      </c>
      <c r="U335" s="70">
        <f>IF(R335="Paid",0,IF(TODAY()&gt;G335,TODAY()-G335,0))</f>
        <v/>
      </c>
    </row>
    <row r="336" s="11">
      <c r="M336" s="71">
        <f>K336-L336</f>
        <v/>
      </c>
      <c r="N336" s="71">
        <f>M336*Settings!$B$12</f>
        <v/>
      </c>
      <c r="O336" s="71">
        <f>M336+N336</f>
        <v/>
      </c>
      <c r="Q336" s="71">
        <f>O336-P336</f>
        <v/>
      </c>
      <c r="U336" s="70">
        <f>IF(R336="Paid",0,IF(TODAY()&gt;G336,TODAY()-G336,0))</f>
        <v/>
      </c>
    </row>
    <row r="337" s="11">
      <c r="M337" s="71">
        <f>K337-L337</f>
        <v/>
      </c>
      <c r="N337" s="71">
        <f>M337*Settings!$B$12</f>
        <v/>
      </c>
      <c r="O337" s="71">
        <f>M337+N337</f>
        <v/>
      </c>
      <c r="Q337" s="71">
        <f>O337-P337</f>
        <v/>
      </c>
      <c r="U337" s="70">
        <f>IF(R337="Paid",0,IF(TODAY()&gt;G337,TODAY()-G337,0))</f>
        <v/>
      </c>
    </row>
    <row r="338" s="11">
      <c r="M338" s="71">
        <f>K338-L338</f>
        <v/>
      </c>
      <c r="N338" s="71">
        <f>M338*Settings!$B$12</f>
        <v/>
      </c>
      <c r="O338" s="71">
        <f>M338+N338</f>
        <v/>
      </c>
      <c r="Q338" s="71">
        <f>O338-P338</f>
        <v/>
      </c>
      <c r="U338" s="70">
        <f>IF(R338="Paid",0,IF(TODAY()&gt;G338,TODAY()-G338,0))</f>
        <v/>
      </c>
    </row>
    <row r="339" s="11">
      <c r="M339" s="71">
        <f>K339-L339</f>
        <v/>
      </c>
      <c r="N339" s="71">
        <f>M339*Settings!$B$12</f>
        <v/>
      </c>
      <c r="O339" s="71">
        <f>M339+N339</f>
        <v/>
      </c>
      <c r="Q339" s="71">
        <f>O339-P339</f>
        <v/>
      </c>
      <c r="U339" s="70">
        <f>IF(R339="Paid",0,IF(TODAY()&gt;G339,TODAY()-G339,0))</f>
        <v/>
      </c>
    </row>
    <row r="340" s="11">
      <c r="M340" s="71">
        <f>K340-L340</f>
        <v/>
      </c>
      <c r="N340" s="71">
        <f>M340*Settings!$B$12</f>
        <v/>
      </c>
      <c r="O340" s="71">
        <f>M340+N340</f>
        <v/>
      </c>
      <c r="Q340" s="71">
        <f>O340-P340</f>
        <v/>
      </c>
      <c r="U340" s="70">
        <f>IF(R340="Paid",0,IF(TODAY()&gt;G340,TODAY()-G340,0))</f>
        <v/>
      </c>
    </row>
    <row r="341" s="11">
      <c r="M341" s="71">
        <f>K341-L341</f>
        <v/>
      </c>
      <c r="N341" s="71">
        <f>M341*Settings!$B$12</f>
        <v/>
      </c>
      <c r="O341" s="71">
        <f>M341+N341</f>
        <v/>
      </c>
      <c r="Q341" s="71">
        <f>O341-P341</f>
        <v/>
      </c>
      <c r="U341" s="70">
        <f>IF(R341="Paid",0,IF(TODAY()&gt;G341,TODAY()-G341,0))</f>
        <v/>
      </c>
    </row>
    <row r="342" s="11">
      <c r="M342" s="71">
        <f>K342-L342</f>
        <v/>
      </c>
      <c r="N342" s="71">
        <f>M342*Settings!$B$12</f>
        <v/>
      </c>
      <c r="O342" s="71">
        <f>M342+N342</f>
        <v/>
      </c>
      <c r="Q342" s="71">
        <f>O342-P342</f>
        <v/>
      </c>
      <c r="U342" s="70">
        <f>IF(R342="Paid",0,IF(TODAY()&gt;G342,TODAY()-G342,0))</f>
        <v/>
      </c>
    </row>
    <row r="343" s="11">
      <c r="M343" s="71">
        <f>K343-L343</f>
        <v/>
      </c>
      <c r="N343" s="71">
        <f>M343*Settings!$B$12</f>
        <v/>
      </c>
      <c r="O343" s="71">
        <f>M343+N343</f>
        <v/>
      </c>
      <c r="Q343" s="71">
        <f>O343-P343</f>
        <v/>
      </c>
      <c r="U343" s="70">
        <f>IF(R343="Paid",0,IF(TODAY()&gt;G343,TODAY()-G343,0))</f>
        <v/>
      </c>
    </row>
    <row r="344" s="11">
      <c r="M344" s="71">
        <f>K344-L344</f>
        <v/>
      </c>
      <c r="N344" s="71">
        <f>M344*Settings!$B$12</f>
        <v/>
      </c>
      <c r="O344" s="71">
        <f>M344+N344</f>
        <v/>
      </c>
      <c r="Q344" s="71">
        <f>O344-P344</f>
        <v/>
      </c>
      <c r="U344" s="70">
        <f>IF(R344="Paid",0,IF(TODAY()&gt;G344,TODAY()-G344,0))</f>
        <v/>
      </c>
    </row>
    <row r="345" s="11">
      <c r="M345" s="71">
        <f>K345-L345</f>
        <v/>
      </c>
      <c r="N345" s="71">
        <f>M345*Settings!$B$12</f>
        <v/>
      </c>
      <c r="O345" s="71">
        <f>M345+N345</f>
        <v/>
      </c>
      <c r="Q345" s="71">
        <f>O345-P345</f>
        <v/>
      </c>
      <c r="U345" s="70">
        <f>IF(R345="Paid",0,IF(TODAY()&gt;G345,TODAY()-G345,0))</f>
        <v/>
      </c>
    </row>
    <row r="346" s="11">
      <c r="M346" s="71">
        <f>K346-L346</f>
        <v/>
      </c>
      <c r="N346" s="71">
        <f>M346*Settings!$B$12</f>
        <v/>
      </c>
      <c r="O346" s="71">
        <f>M346+N346</f>
        <v/>
      </c>
      <c r="Q346" s="71">
        <f>O346-P346</f>
        <v/>
      </c>
      <c r="U346" s="70">
        <f>IF(R346="Paid",0,IF(TODAY()&gt;G346,TODAY()-G346,0))</f>
        <v/>
      </c>
    </row>
    <row r="347" s="11">
      <c r="M347" s="71">
        <f>K347-L347</f>
        <v/>
      </c>
      <c r="N347" s="71">
        <f>M347*Settings!$B$12</f>
        <v/>
      </c>
      <c r="O347" s="71">
        <f>M347+N347</f>
        <v/>
      </c>
      <c r="Q347" s="71">
        <f>O347-P347</f>
        <v/>
      </c>
      <c r="U347" s="70">
        <f>IF(R347="Paid",0,IF(TODAY()&gt;G347,TODAY()-G347,0))</f>
        <v/>
      </c>
    </row>
    <row r="348" s="11">
      <c r="M348" s="71">
        <f>K348-L348</f>
        <v/>
      </c>
      <c r="N348" s="71">
        <f>M348*Settings!$B$12</f>
        <v/>
      </c>
      <c r="O348" s="71">
        <f>M348+N348</f>
        <v/>
      </c>
      <c r="Q348" s="71">
        <f>O348-P348</f>
        <v/>
      </c>
      <c r="U348" s="70">
        <f>IF(R348="Paid",0,IF(TODAY()&gt;G348,TODAY()-G348,0))</f>
        <v/>
      </c>
    </row>
    <row r="349" s="11">
      <c r="M349" s="71">
        <f>K349-L349</f>
        <v/>
      </c>
      <c r="N349" s="71">
        <f>M349*Settings!$B$12</f>
        <v/>
      </c>
      <c r="O349" s="71">
        <f>M349+N349</f>
        <v/>
      </c>
      <c r="Q349" s="71">
        <f>O349-P349</f>
        <v/>
      </c>
      <c r="U349" s="70">
        <f>IF(R349="Paid",0,IF(TODAY()&gt;G349,TODAY()-G349,0))</f>
        <v/>
      </c>
    </row>
    <row r="350" s="11">
      <c r="M350" s="71">
        <f>K350-L350</f>
        <v/>
      </c>
      <c r="N350" s="71">
        <f>M350*Settings!$B$12</f>
        <v/>
      </c>
      <c r="O350" s="71">
        <f>M350+N350</f>
        <v/>
      </c>
      <c r="Q350" s="71">
        <f>O350-P350</f>
        <v/>
      </c>
      <c r="U350" s="70">
        <f>IF(R350="Paid",0,IF(TODAY()&gt;G350,TODAY()-G350,0))</f>
        <v/>
      </c>
    </row>
    <row r="351" s="11">
      <c r="M351" s="71">
        <f>K351-L351</f>
        <v/>
      </c>
      <c r="N351" s="71">
        <f>M351*Settings!$B$12</f>
        <v/>
      </c>
      <c r="O351" s="71">
        <f>M351+N351</f>
        <v/>
      </c>
      <c r="Q351" s="71">
        <f>O351-P351</f>
        <v/>
      </c>
      <c r="U351" s="70">
        <f>IF(R351="Paid",0,IF(TODAY()&gt;G351,TODAY()-G351,0))</f>
        <v/>
      </c>
    </row>
    <row r="352" s="11">
      <c r="M352" s="71">
        <f>K352-L352</f>
        <v/>
      </c>
      <c r="N352" s="71">
        <f>M352*Settings!$B$12</f>
        <v/>
      </c>
      <c r="O352" s="71">
        <f>M352+N352</f>
        <v/>
      </c>
      <c r="Q352" s="71">
        <f>O352-P352</f>
        <v/>
      </c>
      <c r="U352" s="70">
        <f>IF(R352="Paid",0,IF(TODAY()&gt;G352,TODAY()-G352,0))</f>
        <v/>
      </c>
    </row>
    <row r="353" s="11">
      <c r="M353" s="71">
        <f>K353-L353</f>
        <v/>
      </c>
      <c r="N353" s="71">
        <f>M353*Settings!$B$12</f>
        <v/>
      </c>
      <c r="O353" s="71">
        <f>M353+N353</f>
        <v/>
      </c>
      <c r="Q353" s="71">
        <f>O353-P353</f>
        <v/>
      </c>
      <c r="U353" s="70">
        <f>IF(R353="Paid",0,IF(TODAY()&gt;G353,TODAY()-G353,0))</f>
        <v/>
      </c>
    </row>
    <row r="354" s="11">
      <c r="M354" s="71">
        <f>K354-L354</f>
        <v/>
      </c>
      <c r="N354" s="71">
        <f>M354*Settings!$B$12</f>
        <v/>
      </c>
      <c r="O354" s="71">
        <f>M354+N354</f>
        <v/>
      </c>
      <c r="Q354" s="71">
        <f>O354-P354</f>
        <v/>
      </c>
      <c r="U354" s="70">
        <f>IF(R354="Paid",0,IF(TODAY()&gt;G354,TODAY()-G354,0))</f>
        <v/>
      </c>
    </row>
    <row r="355" s="11">
      <c r="M355" s="71">
        <f>K355-L355</f>
        <v/>
      </c>
      <c r="N355" s="71">
        <f>M355*Settings!$B$12</f>
        <v/>
      </c>
      <c r="O355" s="71">
        <f>M355+N355</f>
        <v/>
      </c>
      <c r="Q355" s="71">
        <f>O355-P355</f>
        <v/>
      </c>
      <c r="U355" s="70">
        <f>IF(R355="Paid",0,IF(TODAY()&gt;G355,TODAY()-G355,0))</f>
        <v/>
      </c>
    </row>
    <row r="356" s="11">
      <c r="M356" s="71">
        <f>K356-L356</f>
        <v/>
      </c>
      <c r="N356" s="71">
        <f>M356*Settings!$B$12</f>
        <v/>
      </c>
      <c r="O356" s="71">
        <f>M356+N356</f>
        <v/>
      </c>
      <c r="Q356" s="71">
        <f>O356-P356</f>
        <v/>
      </c>
      <c r="U356" s="70">
        <f>IF(R356="Paid",0,IF(TODAY()&gt;G356,TODAY()-G356,0))</f>
        <v/>
      </c>
    </row>
    <row r="357" s="11">
      <c r="M357" s="71">
        <f>K357-L357</f>
        <v/>
      </c>
      <c r="N357" s="71">
        <f>M357*Settings!$B$12</f>
        <v/>
      </c>
      <c r="O357" s="71">
        <f>M357+N357</f>
        <v/>
      </c>
      <c r="Q357" s="71">
        <f>O357-P357</f>
        <v/>
      </c>
      <c r="U357" s="70">
        <f>IF(R357="Paid",0,IF(TODAY()&gt;G357,TODAY()-G357,0))</f>
        <v/>
      </c>
    </row>
    <row r="358" s="11">
      <c r="M358" s="71">
        <f>K358-L358</f>
        <v/>
      </c>
      <c r="N358" s="71">
        <f>M358*Settings!$B$12</f>
        <v/>
      </c>
      <c r="O358" s="71">
        <f>M358+N358</f>
        <v/>
      </c>
      <c r="Q358" s="71">
        <f>O358-P358</f>
        <v/>
      </c>
      <c r="U358" s="70">
        <f>IF(R358="Paid",0,IF(TODAY()&gt;G358,TODAY()-G358,0))</f>
        <v/>
      </c>
    </row>
    <row r="359" s="11">
      <c r="M359" s="71">
        <f>K359-L359</f>
        <v/>
      </c>
      <c r="N359" s="71">
        <f>M359*Settings!$B$12</f>
        <v/>
      </c>
      <c r="O359" s="71">
        <f>M359+N359</f>
        <v/>
      </c>
      <c r="Q359" s="71">
        <f>O359-P359</f>
        <v/>
      </c>
      <c r="U359" s="70">
        <f>IF(R359="Paid",0,IF(TODAY()&gt;G359,TODAY()-G359,0))</f>
        <v/>
      </c>
    </row>
    <row r="360" s="11">
      <c r="M360" s="71">
        <f>K360-L360</f>
        <v/>
      </c>
      <c r="N360" s="71">
        <f>M360*Settings!$B$12</f>
        <v/>
      </c>
      <c r="O360" s="71">
        <f>M360+N360</f>
        <v/>
      </c>
      <c r="Q360" s="71">
        <f>O360-P360</f>
        <v/>
      </c>
      <c r="U360" s="70">
        <f>IF(R360="Paid",0,IF(TODAY()&gt;G360,TODAY()-G360,0))</f>
        <v/>
      </c>
    </row>
    <row r="361" s="11">
      <c r="M361" s="71">
        <f>K361-L361</f>
        <v/>
      </c>
      <c r="N361" s="71">
        <f>M361*Settings!$B$12</f>
        <v/>
      </c>
      <c r="O361" s="71">
        <f>M361+N361</f>
        <v/>
      </c>
      <c r="Q361" s="71">
        <f>O361-P361</f>
        <v/>
      </c>
      <c r="U361" s="70">
        <f>IF(R361="Paid",0,IF(TODAY()&gt;G361,TODAY()-G361,0))</f>
        <v/>
      </c>
    </row>
    <row r="362" s="11">
      <c r="M362" s="71">
        <f>K362-L362</f>
        <v/>
      </c>
      <c r="N362" s="71">
        <f>M362*Settings!$B$12</f>
        <v/>
      </c>
      <c r="O362" s="71">
        <f>M362+N362</f>
        <v/>
      </c>
      <c r="Q362" s="71">
        <f>O362-P362</f>
        <v/>
      </c>
      <c r="U362" s="70">
        <f>IF(R362="Paid",0,IF(TODAY()&gt;G362,TODAY()-G362,0))</f>
        <v/>
      </c>
    </row>
    <row r="363" s="11">
      <c r="M363" s="71">
        <f>K363-L363</f>
        <v/>
      </c>
      <c r="N363" s="71">
        <f>M363*Settings!$B$12</f>
        <v/>
      </c>
      <c r="O363" s="71">
        <f>M363+N363</f>
        <v/>
      </c>
      <c r="Q363" s="71">
        <f>O363-P363</f>
        <v/>
      </c>
      <c r="U363" s="70">
        <f>IF(R363="Paid",0,IF(TODAY()&gt;G363,TODAY()-G363,0))</f>
        <v/>
      </c>
    </row>
    <row r="364" s="11">
      <c r="M364" s="71">
        <f>K364-L364</f>
        <v/>
      </c>
      <c r="N364" s="71">
        <f>M364*Settings!$B$12</f>
        <v/>
      </c>
      <c r="O364" s="71">
        <f>M364+N364</f>
        <v/>
      </c>
      <c r="Q364" s="71">
        <f>O364-P364</f>
        <v/>
      </c>
      <c r="U364" s="70">
        <f>IF(R364="Paid",0,IF(TODAY()&gt;G364,TODAY()-G364,0))</f>
        <v/>
      </c>
    </row>
    <row r="365" s="11">
      <c r="M365" s="71">
        <f>K365-L365</f>
        <v/>
      </c>
      <c r="N365" s="71">
        <f>M365*Settings!$B$12</f>
        <v/>
      </c>
      <c r="O365" s="71">
        <f>M365+N365</f>
        <v/>
      </c>
      <c r="Q365" s="71">
        <f>O365-P365</f>
        <v/>
      </c>
      <c r="U365" s="70">
        <f>IF(R365="Paid",0,IF(TODAY()&gt;G365,TODAY()-G365,0))</f>
        <v/>
      </c>
    </row>
    <row r="366" s="11">
      <c r="M366" s="71">
        <f>K366-L366</f>
        <v/>
      </c>
      <c r="N366" s="71">
        <f>M366*Settings!$B$12</f>
        <v/>
      </c>
      <c r="O366" s="71">
        <f>M366+N366</f>
        <v/>
      </c>
      <c r="Q366" s="71">
        <f>O366-P366</f>
        <v/>
      </c>
      <c r="U366" s="70">
        <f>IF(R366="Paid",0,IF(TODAY()&gt;G366,TODAY()-G366,0))</f>
        <v/>
      </c>
    </row>
    <row r="367" s="11">
      <c r="M367" s="71">
        <f>K367-L367</f>
        <v/>
      </c>
      <c r="N367" s="71">
        <f>M367*Settings!$B$12</f>
        <v/>
      </c>
      <c r="O367" s="71">
        <f>M367+N367</f>
        <v/>
      </c>
      <c r="Q367" s="71">
        <f>O367-P367</f>
        <v/>
      </c>
      <c r="U367" s="70">
        <f>IF(R367="Paid",0,IF(TODAY()&gt;G367,TODAY()-G367,0))</f>
        <v/>
      </c>
    </row>
    <row r="368" s="11">
      <c r="M368" s="71">
        <f>K368-L368</f>
        <v/>
      </c>
      <c r="N368" s="71">
        <f>M368*Settings!$B$12</f>
        <v/>
      </c>
      <c r="O368" s="71">
        <f>M368+N368</f>
        <v/>
      </c>
      <c r="Q368" s="71">
        <f>O368-P368</f>
        <v/>
      </c>
      <c r="U368" s="70">
        <f>IF(R368="Paid",0,IF(TODAY()&gt;G368,TODAY()-G368,0))</f>
        <v/>
      </c>
    </row>
    <row r="369" s="11">
      <c r="M369" s="71">
        <f>K369-L369</f>
        <v/>
      </c>
      <c r="N369" s="71">
        <f>M369*Settings!$B$12</f>
        <v/>
      </c>
      <c r="O369" s="71">
        <f>M369+N369</f>
        <v/>
      </c>
      <c r="Q369" s="71">
        <f>O369-P369</f>
        <v/>
      </c>
      <c r="U369" s="70">
        <f>IF(R369="Paid",0,IF(TODAY()&gt;G369,TODAY()-G369,0))</f>
        <v/>
      </c>
    </row>
    <row r="370" s="11">
      <c r="M370" s="71">
        <f>K370-L370</f>
        <v/>
      </c>
      <c r="N370" s="71">
        <f>M370*Settings!$B$12</f>
        <v/>
      </c>
      <c r="O370" s="71">
        <f>M370+N370</f>
        <v/>
      </c>
      <c r="Q370" s="71">
        <f>O370-P370</f>
        <v/>
      </c>
      <c r="U370" s="70">
        <f>IF(R370="Paid",0,IF(TODAY()&gt;G370,TODAY()-G370,0))</f>
        <v/>
      </c>
    </row>
    <row r="371" s="11">
      <c r="M371" s="71">
        <f>K371-L371</f>
        <v/>
      </c>
      <c r="N371" s="71">
        <f>M371*Settings!$B$12</f>
        <v/>
      </c>
      <c r="O371" s="71">
        <f>M371+N371</f>
        <v/>
      </c>
      <c r="Q371" s="71">
        <f>O371-P371</f>
        <v/>
      </c>
      <c r="U371" s="70">
        <f>IF(R371="Paid",0,IF(TODAY()&gt;G371,TODAY()-G371,0))</f>
        <v/>
      </c>
    </row>
    <row r="372" s="11">
      <c r="M372" s="71">
        <f>K372-L372</f>
        <v/>
      </c>
      <c r="N372" s="71">
        <f>M372*Settings!$B$12</f>
        <v/>
      </c>
      <c r="O372" s="71">
        <f>M372+N372</f>
        <v/>
      </c>
      <c r="Q372" s="71">
        <f>O372-P372</f>
        <v/>
      </c>
      <c r="U372" s="70">
        <f>IF(R372="Paid",0,IF(TODAY()&gt;G372,TODAY()-G372,0))</f>
        <v/>
      </c>
    </row>
    <row r="373" s="11">
      <c r="M373" s="71">
        <f>K373-L373</f>
        <v/>
      </c>
      <c r="N373" s="71">
        <f>M373*Settings!$B$12</f>
        <v/>
      </c>
      <c r="O373" s="71">
        <f>M373+N373</f>
        <v/>
      </c>
      <c r="Q373" s="71">
        <f>O373-P373</f>
        <v/>
      </c>
      <c r="U373" s="70">
        <f>IF(R373="Paid",0,IF(TODAY()&gt;G373,TODAY()-G373,0))</f>
        <v/>
      </c>
    </row>
    <row r="374" s="11">
      <c r="M374" s="71">
        <f>K374-L374</f>
        <v/>
      </c>
      <c r="N374" s="71">
        <f>M374*Settings!$B$12</f>
        <v/>
      </c>
      <c r="O374" s="71">
        <f>M374+N374</f>
        <v/>
      </c>
      <c r="Q374" s="71">
        <f>O374-P374</f>
        <v/>
      </c>
      <c r="U374" s="70">
        <f>IF(R374="Paid",0,IF(TODAY()&gt;G374,TODAY()-G374,0))</f>
        <v/>
      </c>
    </row>
    <row r="375" s="11">
      <c r="M375" s="71">
        <f>K375-L375</f>
        <v/>
      </c>
      <c r="N375" s="71">
        <f>M375*Settings!$B$12</f>
        <v/>
      </c>
      <c r="O375" s="71">
        <f>M375+N375</f>
        <v/>
      </c>
      <c r="Q375" s="71">
        <f>O375-P375</f>
        <v/>
      </c>
      <c r="U375" s="70">
        <f>IF(R375="Paid",0,IF(TODAY()&gt;G375,TODAY()-G375,0))</f>
        <v/>
      </c>
    </row>
    <row r="376" s="11">
      <c r="M376" s="71">
        <f>K376-L376</f>
        <v/>
      </c>
      <c r="N376" s="71">
        <f>M376*Settings!$B$12</f>
        <v/>
      </c>
      <c r="O376" s="71">
        <f>M376+N376</f>
        <v/>
      </c>
      <c r="Q376" s="71">
        <f>O376-P376</f>
        <v/>
      </c>
      <c r="U376" s="70">
        <f>IF(R376="Paid",0,IF(TODAY()&gt;G376,TODAY()-G376,0))</f>
        <v/>
      </c>
    </row>
    <row r="377" s="11">
      <c r="M377" s="71">
        <f>K377-L377</f>
        <v/>
      </c>
      <c r="N377" s="71">
        <f>M377*Settings!$B$12</f>
        <v/>
      </c>
      <c r="O377" s="71">
        <f>M377+N377</f>
        <v/>
      </c>
      <c r="Q377" s="71">
        <f>O377-P377</f>
        <v/>
      </c>
      <c r="U377" s="70">
        <f>IF(R377="Paid",0,IF(TODAY()&gt;G377,TODAY()-G377,0))</f>
        <v/>
      </c>
    </row>
    <row r="378" s="11">
      <c r="M378" s="71">
        <f>K378-L378</f>
        <v/>
      </c>
      <c r="N378" s="71">
        <f>M378*Settings!$B$12</f>
        <v/>
      </c>
      <c r="O378" s="71">
        <f>M378+N378</f>
        <v/>
      </c>
      <c r="Q378" s="71">
        <f>O378-P378</f>
        <v/>
      </c>
      <c r="U378" s="70">
        <f>IF(R378="Paid",0,IF(TODAY()&gt;G378,TODAY()-G378,0))</f>
        <v/>
      </c>
    </row>
    <row r="379" s="11">
      <c r="M379" s="71">
        <f>K379-L379</f>
        <v/>
      </c>
      <c r="N379" s="71">
        <f>M379*Settings!$B$12</f>
        <v/>
      </c>
      <c r="O379" s="71">
        <f>M379+N379</f>
        <v/>
      </c>
      <c r="Q379" s="71">
        <f>O379-P379</f>
        <v/>
      </c>
      <c r="U379" s="70">
        <f>IF(R379="Paid",0,IF(TODAY()&gt;G379,TODAY()-G379,0))</f>
        <v/>
      </c>
    </row>
    <row r="380" s="11">
      <c r="M380" s="71">
        <f>K380-L380</f>
        <v/>
      </c>
      <c r="N380" s="71">
        <f>M380*Settings!$B$12</f>
        <v/>
      </c>
      <c r="O380" s="71">
        <f>M380+N380</f>
        <v/>
      </c>
      <c r="Q380" s="71">
        <f>O380-P380</f>
        <v/>
      </c>
      <c r="U380" s="70">
        <f>IF(R380="Paid",0,IF(TODAY()&gt;G380,TODAY()-G380,0))</f>
        <v/>
      </c>
    </row>
    <row r="381" s="11">
      <c r="M381" s="71">
        <f>K381-L381</f>
        <v/>
      </c>
      <c r="N381" s="71">
        <f>M381*Settings!$B$12</f>
        <v/>
      </c>
      <c r="O381" s="71">
        <f>M381+N381</f>
        <v/>
      </c>
      <c r="Q381" s="71">
        <f>O381-P381</f>
        <v/>
      </c>
      <c r="U381" s="70">
        <f>IF(R381="Paid",0,IF(TODAY()&gt;G381,TODAY()-G381,0))</f>
        <v/>
      </c>
    </row>
    <row r="382" s="11">
      <c r="M382" s="71">
        <f>K382-L382</f>
        <v/>
      </c>
      <c r="N382" s="71">
        <f>M382*Settings!$B$12</f>
        <v/>
      </c>
      <c r="O382" s="71">
        <f>M382+N382</f>
        <v/>
      </c>
      <c r="Q382" s="71">
        <f>O382-P382</f>
        <v/>
      </c>
      <c r="U382" s="70">
        <f>IF(R382="Paid",0,IF(TODAY()&gt;G382,TODAY()-G382,0))</f>
        <v/>
      </c>
    </row>
    <row r="383" s="11">
      <c r="M383" s="71">
        <f>K383-L383</f>
        <v/>
      </c>
      <c r="N383" s="71">
        <f>M383*Settings!$B$12</f>
        <v/>
      </c>
      <c r="O383" s="71">
        <f>M383+N383</f>
        <v/>
      </c>
      <c r="Q383" s="71">
        <f>O383-P383</f>
        <v/>
      </c>
      <c r="U383" s="70">
        <f>IF(R383="Paid",0,IF(TODAY()&gt;G383,TODAY()-G383,0))</f>
        <v/>
      </c>
    </row>
    <row r="384" s="11">
      <c r="M384" s="71">
        <f>K384-L384</f>
        <v/>
      </c>
      <c r="N384" s="71">
        <f>M384*Settings!$B$12</f>
        <v/>
      </c>
      <c r="O384" s="71">
        <f>M384+N384</f>
        <v/>
      </c>
      <c r="Q384" s="71">
        <f>O384-P384</f>
        <v/>
      </c>
      <c r="U384" s="70">
        <f>IF(R384="Paid",0,IF(TODAY()&gt;G384,TODAY()-G384,0))</f>
        <v/>
      </c>
    </row>
    <row r="385" s="11">
      <c r="M385" s="71">
        <f>K385-L385</f>
        <v/>
      </c>
      <c r="N385" s="71">
        <f>M385*Settings!$B$12</f>
        <v/>
      </c>
      <c r="O385" s="71">
        <f>M385+N385</f>
        <v/>
      </c>
      <c r="Q385" s="71">
        <f>O385-P385</f>
        <v/>
      </c>
      <c r="U385" s="70">
        <f>IF(R385="Paid",0,IF(TODAY()&gt;G385,TODAY()-G385,0))</f>
        <v/>
      </c>
    </row>
    <row r="386" s="11">
      <c r="M386" s="71">
        <f>K386-L386</f>
        <v/>
      </c>
      <c r="N386" s="71">
        <f>M386*Settings!$B$12</f>
        <v/>
      </c>
      <c r="O386" s="71">
        <f>M386+N386</f>
        <v/>
      </c>
      <c r="Q386" s="71">
        <f>O386-P386</f>
        <v/>
      </c>
      <c r="U386" s="70">
        <f>IF(R386="Paid",0,IF(TODAY()&gt;G386,TODAY()-G386,0))</f>
        <v/>
      </c>
    </row>
    <row r="387" s="11">
      <c r="M387" s="71">
        <f>K387-L387</f>
        <v/>
      </c>
      <c r="N387" s="71">
        <f>M387*Settings!$B$12</f>
        <v/>
      </c>
      <c r="O387" s="71">
        <f>M387+N387</f>
        <v/>
      </c>
      <c r="Q387" s="71">
        <f>O387-P387</f>
        <v/>
      </c>
      <c r="U387" s="70">
        <f>IF(R387="Paid",0,IF(TODAY()&gt;G387,TODAY()-G387,0))</f>
        <v/>
      </c>
    </row>
    <row r="388" s="11">
      <c r="M388" s="71">
        <f>K388-L388</f>
        <v/>
      </c>
      <c r="N388" s="71">
        <f>M388*Settings!$B$12</f>
        <v/>
      </c>
      <c r="O388" s="71">
        <f>M388+N388</f>
        <v/>
      </c>
      <c r="Q388" s="71">
        <f>O388-P388</f>
        <v/>
      </c>
      <c r="U388" s="70">
        <f>IF(R388="Paid",0,IF(TODAY()&gt;G388,TODAY()-G388,0))</f>
        <v/>
      </c>
    </row>
    <row r="389" s="11">
      <c r="M389" s="71">
        <f>K389-L389</f>
        <v/>
      </c>
      <c r="N389" s="71">
        <f>M389*Settings!$B$12</f>
        <v/>
      </c>
      <c r="O389" s="71">
        <f>M389+N389</f>
        <v/>
      </c>
      <c r="Q389" s="71">
        <f>O389-P389</f>
        <v/>
      </c>
      <c r="U389" s="70">
        <f>IF(R389="Paid",0,IF(TODAY()&gt;G389,TODAY()-G389,0))</f>
        <v/>
      </c>
    </row>
    <row r="390" s="11">
      <c r="M390" s="71">
        <f>K390-L390</f>
        <v/>
      </c>
      <c r="N390" s="71">
        <f>M390*Settings!$B$12</f>
        <v/>
      </c>
      <c r="O390" s="71">
        <f>M390+N390</f>
        <v/>
      </c>
      <c r="Q390" s="71">
        <f>O390-P390</f>
        <v/>
      </c>
      <c r="U390" s="70">
        <f>IF(R390="Paid",0,IF(TODAY()&gt;G390,TODAY()-G390,0))</f>
        <v/>
      </c>
    </row>
    <row r="391" s="11">
      <c r="M391" s="71">
        <f>K391-L391</f>
        <v/>
      </c>
      <c r="N391" s="71">
        <f>M391*Settings!$B$12</f>
        <v/>
      </c>
      <c r="O391" s="71">
        <f>M391+N391</f>
        <v/>
      </c>
      <c r="Q391" s="71">
        <f>O391-P391</f>
        <v/>
      </c>
      <c r="U391" s="70">
        <f>IF(R391="Paid",0,IF(TODAY()&gt;G391,TODAY()-G391,0))</f>
        <v/>
      </c>
    </row>
    <row r="392" s="11">
      <c r="M392" s="71">
        <f>K392-L392</f>
        <v/>
      </c>
      <c r="N392" s="71">
        <f>M392*Settings!$B$12</f>
        <v/>
      </c>
      <c r="O392" s="71">
        <f>M392+N392</f>
        <v/>
      </c>
      <c r="Q392" s="71">
        <f>O392-P392</f>
        <v/>
      </c>
      <c r="U392" s="70">
        <f>IF(R392="Paid",0,IF(TODAY()&gt;G392,TODAY()-G392,0))</f>
        <v/>
      </c>
    </row>
    <row r="393" s="11">
      <c r="M393" s="71">
        <f>K393-L393</f>
        <v/>
      </c>
      <c r="N393" s="71">
        <f>M393*Settings!$B$12</f>
        <v/>
      </c>
      <c r="O393" s="71">
        <f>M393+N393</f>
        <v/>
      </c>
      <c r="Q393" s="71">
        <f>O393-P393</f>
        <v/>
      </c>
      <c r="U393" s="70">
        <f>IF(R393="Paid",0,IF(TODAY()&gt;G393,TODAY()-G393,0))</f>
        <v/>
      </c>
    </row>
    <row r="394" s="11">
      <c r="M394" s="71">
        <f>K394-L394</f>
        <v/>
      </c>
      <c r="N394" s="71">
        <f>M394*Settings!$B$12</f>
        <v/>
      </c>
      <c r="O394" s="71">
        <f>M394+N394</f>
        <v/>
      </c>
      <c r="Q394" s="71">
        <f>O394-P394</f>
        <v/>
      </c>
      <c r="U394" s="70">
        <f>IF(R394="Paid",0,IF(TODAY()&gt;G394,TODAY()-G394,0))</f>
        <v/>
      </c>
    </row>
    <row r="395" s="11">
      <c r="M395" s="71">
        <f>K395-L395</f>
        <v/>
      </c>
      <c r="N395" s="71">
        <f>M395*Settings!$B$12</f>
        <v/>
      </c>
      <c r="O395" s="71">
        <f>M395+N395</f>
        <v/>
      </c>
      <c r="Q395" s="71">
        <f>O395-P395</f>
        <v/>
      </c>
      <c r="U395" s="70">
        <f>IF(R395="Paid",0,IF(TODAY()&gt;G395,TODAY()-G395,0))</f>
        <v/>
      </c>
    </row>
    <row r="396" s="11">
      <c r="M396" s="71">
        <f>K396-L396</f>
        <v/>
      </c>
      <c r="N396" s="71">
        <f>M396*Settings!$B$12</f>
        <v/>
      </c>
      <c r="O396" s="71">
        <f>M396+N396</f>
        <v/>
      </c>
      <c r="Q396" s="71">
        <f>O396-P396</f>
        <v/>
      </c>
      <c r="U396" s="70">
        <f>IF(R396="Paid",0,IF(TODAY()&gt;G396,TODAY()-G396,0))</f>
        <v/>
      </c>
    </row>
    <row r="397" s="11">
      <c r="M397" s="71">
        <f>K397-L397</f>
        <v/>
      </c>
      <c r="N397" s="71">
        <f>M397*Settings!$B$12</f>
        <v/>
      </c>
      <c r="O397" s="71">
        <f>M397+N397</f>
        <v/>
      </c>
      <c r="Q397" s="71">
        <f>O397-P397</f>
        <v/>
      </c>
      <c r="U397" s="70">
        <f>IF(R397="Paid",0,IF(TODAY()&gt;G397,TODAY()-G397,0))</f>
        <v/>
      </c>
    </row>
    <row r="398" s="11">
      <c r="M398" s="71">
        <f>K398-L398</f>
        <v/>
      </c>
      <c r="N398" s="71">
        <f>M398*Settings!$B$12</f>
        <v/>
      </c>
      <c r="O398" s="71">
        <f>M398+N398</f>
        <v/>
      </c>
      <c r="Q398" s="71">
        <f>O398-P398</f>
        <v/>
      </c>
      <c r="U398" s="70">
        <f>IF(R398="Paid",0,IF(TODAY()&gt;G398,TODAY()-G398,0))</f>
        <v/>
      </c>
    </row>
    <row r="399" s="11">
      <c r="M399" s="71">
        <f>K399-L399</f>
        <v/>
      </c>
      <c r="N399" s="71">
        <f>M399*Settings!$B$12</f>
        <v/>
      </c>
      <c r="O399" s="71">
        <f>M399+N399</f>
        <v/>
      </c>
      <c r="Q399" s="71">
        <f>O399-P399</f>
        <v/>
      </c>
      <c r="U399" s="70">
        <f>IF(R399="Paid",0,IF(TODAY()&gt;G399,TODAY()-G399,0))</f>
        <v/>
      </c>
    </row>
    <row r="400" s="11">
      <c r="M400" s="71">
        <f>K400-L400</f>
        <v/>
      </c>
      <c r="N400" s="71">
        <f>M400*Settings!$B$12</f>
        <v/>
      </c>
      <c r="O400" s="71">
        <f>M400+N400</f>
        <v/>
      </c>
      <c r="Q400" s="71">
        <f>O400-P400</f>
        <v/>
      </c>
      <c r="U400" s="70">
        <f>IF(R400="Paid",0,IF(TODAY()&gt;G400,TODAY()-G400,0))</f>
        <v/>
      </c>
    </row>
    <row r="401" s="11">
      <c r="M401" s="71">
        <f>K401-L401</f>
        <v/>
      </c>
      <c r="N401" s="71">
        <f>M401*Settings!$B$12</f>
        <v/>
      </c>
      <c r="O401" s="71">
        <f>M401+N401</f>
        <v/>
      </c>
      <c r="Q401" s="71">
        <f>O401-P401</f>
        <v/>
      </c>
      <c r="U401" s="70">
        <f>IF(R401="Paid",0,IF(TODAY()&gt;G401,TODAY()-G401,0))</f>
        <v/>
      </c>
    </row>
    <row r="402" s="11">
      <c r="M402" s="71">
        <f>K402-L402</f>
        <v/>
      </c>
      <c r="N402" s="71">
        <f>M402*Settings!$B$12</f>
        <v/>
      </c>
      <c r="O402" s="71">
        <f>M402+N402</f>
        <v/>
      </c>
      <c r="Q402" s="71">
        <f>O402-P402</f>
        <v/>
      </c>
      <c r="U402" s="70">
        <f>IF(R402="Paid",0,IF(TODAY()&gt;G402,TODAY()-G402,0))</f>
        <v/>
      </c>
    </row>
    <row r="403" s="11">
      <c r="M403" s="71">
        <f>K403-L403</f>
        <v/>
      </c>
      <c r="N403" s="71">
        <f>M403*Settings!$B$12</f>
        <v/>
      </c>
      <c r="O403" s="71">
        <f>M403+N403</f>
        <v/>
      </c>
      <c r="Q403" s="71">
        <f>O403-P403</f>
        <v/>
      </c>
      <c r="U403" s="70">
        <f>IF(R403="Paid",0,IF(TODAY()&gt;G403,TODAY()-G403,0))</f>
        <v/>
      </c>
    </row>
    <row r="404" s="11">
      <c r="M404" s="71">
        <f>K404-L404</f>
        <v/>
      </c>
      <c r="N404" s="71">
        <f>M404*Settings!$B$12</f>
        <v/>
      </c>
      <c r="O404" s="71">
        <f>M404+N404</f>
        <v/>
      </c>
      <c r="Q404" s="71">
        <f>O404-P404</f>
        <v/>
      </c>
      <c r="U404" s="70">
        <f>IF(R404="Paid",0,IF(TODAY()&gt;G404,TODAY()-G404,0))</f>
        <v/>
      </c>
    </row>
    <row r="405" s="11">
      <c r="M405" s="71">
        <f>K405-L405</f>
        <v/>
      </c>
      <c r="N405" s="71">
        <f>M405*Settings!$B$12</f>
        <v/>
      </c>
      <c r="O405" s="71">
        <f>M405+N405</f>
        <v/>
      </c>
      <c r="Q405" s="71">
        <f>O405-P405</f>
        <v/>
      </c>
      <c r="U405" s="70">
        <f>IF(R405="Paid",0,IF(TODAY()&gt;G405,TODAY()-G405,0))</f>
        <v/>
      </c>
    </row>
    <row r="406" s="11">
      <c r="M406" s="71">
        <f>K406-L406</f>
        <v/>
      </c>
      <c r="N406" s="71">
        <f>M406*Settings!$B$12</f>
        <v/>
      </c>
      <c r="O406" s="71">
        <f>M406+N406</f>
        <v/>
      </c>
      <c r="Q406" s="71">
        <f>O406-P406</f>
        <v/>
      </c>
      <c r="U406" s="70">
        <f>IF(R406="Paid",0,IF(TODAY()&gt;G406,TODAY()-G406,0))</f>
        <v/>
      </c>
    </row>
    <row r="407" s="11">
      <c r="M407" s="71">
        <f>K407-L407</f>
        <v/>
      </c>
      <c r="N407" s="71">
        <f>M407*Settings!$B$12</f>
        <v/>
      </c>
      <c r="O407" s="71">
        <f>M407+N407</f>
        <v/>
      </c>
      <c r="Q407" s="71">
        <f>O407-P407</f>
        <v/>
      </c>
      <c r="U407" s="70">
        <f>IF(R407="Paid",0,IF(TODAY()&gt;G407,TODAY()-G407,0))</f>
        <v/>
      </c>
    </row>
    <row r="408" s="11">
      <c r="M408" s="71">
        <f>K408-L408</f>
        <v/>
      </c>
      <c r="N408" s="71">
        <f>M408*Settings!$B$12</f>
        <v/>
      </c>
      <c r="O408" s="71">
        <f>M408+N408</f>
        <v/>
      </c>
      <c r="Q408" s="71">
        <f>O408-P408</f>
        <v/>
      </c>
      <c r="U408" s="70">
        <f>IF(R408="Paid",0,IF(TODAY()&gt;G408,TODAY()-G408,0))</f>
        <v/>
      </c>
    </row>
    <row r="409" s="11">
      <c r="M409" s="71">
        <f>K409-L409</f>
        <v/>
      </c>
      <c r="N409" s="71">
        <f>M409*Settings!$B$12</f>
        <v/>
      </c>
      <c r="O409" s="71">
        <f>M409+N409</f>
        <v/>
      </c>
      <c r="Q409" s="71">
        <f>O409-P409</f>
        <v/>
      </c>
      <c r="U409" s="70">
        <f>IF(R409="Paid",0,IF(TODAY()&gt;G409,TODAY()-G409,0))</f>
        <v/>
      </c>
    </row>
    <row r="410" s="11">
      <c r="M410" s="71">
        <f>K410-L410</f>
        <v/>
      </c>
      <c r="N410" s="71">
        <f>M410*Settings!$B$12</f>
        <v/>
      </c>
      <c r="O410" s="71">
        <f>M410+N410</f>
        <v/>
      </c>
      <c r="Q410" s="71">
        <f>O410-P410</f>
        <v/>
      </c>
      <c r="U410" s="70">
        <f>IF(R410="Paid",0,IF(TODAY()&gt;G410,TODAY()-G410,0))</f>
        <v/>
      </c>
    </row>
    <row r="411" s="11">
      <c r="M411" s="71">
        <f>K411-L411</f>
        <v/>
      </c>
      <c r="N411" s="71">
        <f>M411*Settings!$B$12</f>
        <v/>
      </c>
      <c r="O411" s="71">
        <f>M411+N411</f>
        <v/>
      </c>
      <c r="Q411" s="71">
        <f>O411-P411</f>
        <v/>
      </c>
      <c r="U411" s="70">
        <f>IF(R411="Paid",0,IF(TODAY()&gt;G411,TODAY()-G411,0))</f>
        <v/>
      </c>
    </row>
    <row r="412" s="11">
      <c r="M412" s="71">
        <f>K412-L412</f>
        <v/>
      </c>
      <c r="N412" s="71">
        <f>M412*Settings!$B$12</f>
        <v/>
      </c>
      <c r="O412" s="71">
        <f>M412+N412</f>
        <v/>
      </c>
      <c r="Q412" s="71">
        <f>O412-P412</f>
        <v/>
      </c>
      <c r="U412" s="70">
        <f>IF(R412="Paid",0,IF(TODAY()&gt;G412,TODAY()-G412,0))</f>
        <v/>
      </c>
    </row>
    <row r="413" s="11">
      <c r="M413" s="71">
        <f>K413-L413</f>
        <v/>
      </c>
      <c r="N413" s="71">
        <f>M413*Settings!$B$12</f>
        <v/>
      </c>
      <c r="O413" s="71">
        <f>M413+N413</f>
        <v/>
      </c>
      <c r="Q413" s="71">
        <f>O413-P413</f>
        <v/>
      </c>
      <c r="U413" s="70">
        <f>IF(R413="Paid",0,IF(TODAY()&gt;G413,TODAY()-G413,0))</f>
        <v/>
      </c>
    </row>
    <row r="414" s="11">
      <c r="M414" s="71">
        <f>K414-L414</f>
        <v/>
      </c>
      <c r="N414" s="71">
        <f>M414*Settings!$B$12</f>
        <v/>
      </c>
      <c r="O414" s="71">
        <f>M414+N414</f>
        <v/>
      </c>
      <c r="Q414" s="71">
        <f>O414-P414</f>
        <v/>
      </c>
      <c r="U414" s="70">
        <f>IF(R414="Paid",0,IF(TODAY()&gt;G414,TODAY()-G414,0))</f>
        <v/>
      </c>
    </row>
    <row r="415" s="11">
      <c r="M415" s="71">
        <f>K415-L415</f>
        <v/>
      </c>
      <c r="N415" s="71">
        <f>M415*Settings!$B$12</f>
        <v/>
      </c>
      <c r="O415" s="71">
        <f>M415+N415</f>
        <v/>
      </c>
      <c r="Q415" s="71">
        <f>O415-P415</f>
        <v/>
      </c>
      <c r="U415" s="70">
        <f>IF(R415="Paid",0,IF(TODAY()&gt;G415,TODAY()-G415,0))</f>
        <v/>
      </c>
    </row>
    <row r="416" s="11">
      <c r="M416" s="71">
        <f>K416-L416</f>
        <v/>
      </c>
      <c r="N416" s="71">
        <f>M416*Settings!$B$12</f>
        <v/>
      </c>
      <c r="O416" s="71">
        <f>M416+N416</f>
        <v/>
      </c>
      <c r="Q416" s="71">
        <f>O416-P416</f>
        <v/>
      </c>
      <c r="U416" s="70">
        <f>IF(R416="Paid",0,IF(TODAY()&gt;G416,TODAY()-G416,0))</f>
        <v/>
      </c>
    </row>
    <row r="417" s="11">
      <c r="M417" s="71">
        <f>K417-L417</f>
        <v/>
      </c>
      <c r="N417" s="71">
        <f>M417*Settings!$B$12</f>
        <v/>
      </c>
      <c r="O417" s="71">
        <f>M417+N417</f>
        <v/>
      </c>
      <c r="Q417" s="71">
        <f>O417-P417</f>
        <v/>
      </c>
      <c r="U417" s="70">
        <f>IF(R417="Paid",0,IF(TODAY()&gt;G417,TODAY()-G417,0))</f>
        <v/>
      </c>
    </row>
    <row r="418" s="11">
      <c r="M418" s="71">
        <f>K418-L418</f>
        <v/>
      </c>
      <c r="N418" s="71">
        <f>M418*Settings!$B$12</f>
        <v/>
      </c>
      <c r="O418" s="71">
        <f>M418+N418</f>
        <v/>
      </c>
      <c r="Q418" s="71">
        <f>O418-P418</f>
        <v/>
      </c>
      <c r="U418" s="70">
        <f>IF(R418="Paid",0,IF(TODAY()&gt;G418,TODAY()-G418,0))</f>
        <v/>
      </c>
    </row>
    <row r="419" s="11">
      <c r="M419" s="71">
        <f>K419-L419</f>
        <v/>
      </c>
      <c r="N419" s="71">
        <f>M419*Settings!$B$12</f>
        <v/>
      </c>
      <c r="O419" s="71">
        <f>M419+N419</f>
        <v/>
      </c>
      <c r="Q419" s="71">
        <f>O419-P419</f>
        <v/>
      </c>
      <c r="U419" s="70">
        <f>IF(R419="Paid",0,IF(TODAY()&gt;G419,TODAY()-G419,0))</f>
        <v/>
      </c>
    </row>
    <row r="420" s="11">
      <c r="M420" s="71">
        <f>K420-L420</f>
        <v/>
      </c>
      <c r="N420" s="71">
        <f>M420*Settings!$B$12</f>
        <v/>
      </c>
      <c r="O420" s="71">
        <f>M420+N420</f>
        <v/>
      </c>
      <c r="Q420" s="71">
        <f>O420-P420</f>
        <v/>
      </c>
      <c r="U420" s="70">
        <f>IF(R420="Paid",0,IF(TODAY()&gt;G420,TODAY()-G420,0))</f>
        <v/>
      </c>
    </row>
    <row r="421" s="11">
      <c r="M421" s="71">
        <f>K421-L421</f>
        <v/>
      </c>
      <c r="N421" s="71">
        <f>M421*Settings!$B$12</f>
        <v/>
      </c>
      <c r="O421" s="71">
        <f>M421+N421</f>
        <v/>
      </c>
      <c r="Q421" s="71">
        <f>O421-P421</f>
        <v/>
      </c>
      <c r="U421" s="70">
        <f>IF(R421="Paid",0,IF(TODAY()&gt;G421,TODAY()-G421,0))</f>
        <v/>
      </c>
    </row>
    <row r="422" s="11">
      <c r="M422" s="71">
        <f>K422-L422</f>
        <v/>
      </c>
      <c r="N422" s="71">
        <f>M422*Settings!$B$12</f>
        <v/>
      </c>
      <c r="O422" s="71">
        <f>M422+N422</f>
        <v/>
      </c>
      <c r="Q422" s="71">
        <f>O422-P422</f>
        <v/>
      </c>
      <c r="U422" s="70">
        <f>IF(R422="Paid",0,IF(TODAY()&gt;G422,TODAY()-G422,0))</f>
        <v/>
      </c>
    </row>
    <row r="423" s="11">
      <c r="M423" s="71">
        <f>K423-L423</f>
        <v/>
      </c>
      <c r="N423" s="71">
        <f>M423*Settings!$B$12</f>
        <v/>
      </c>
      <c r="O423" s="71">
        <f>M423+N423</f>
        <v/>
      </c>
      <c r="Q423" s="71">
        <f>O423-P423</f>
        <v/>
      </c>
      <c r="U423" s="70">
        <f>IF(R423="Paid",0,IF(TODAY()&gt;G423,TODAY()-G423,0))</f>
        <v/>
      </c>
    </row>
    <row r="424" s="11">
      <c r="M424" s="71">
        <f>K424-L424</f>
        <v/>
      </c>
      <c r="N424" s="71">
        <f>M424*Settings!$B$12</f>
        <v/>
      </c>
      <c r="O424" s="71">
        <f>M424+N424</f>
        <v/>
      </c>
      <c r="Q424" s="71">
        <f>O424-P424</f>
        <v/>
      </c>
      <c r="U424" s="70">
        <f>IF(R424="Paid",0,IF(TODAY()&gt;G424,TODAY()-G424,0))</f>
        <v/>
      </c>
    </row>
    <row r="425" s="11">
      <c r="M425" s="71">
        <f>K425-L425</f>
        <v/>
      </c>
      <c r="N425" s="71">
        <f>M425*Settings!$B$12</f>
        <v/>
      </c>
      <c r="O425" s="71">
        <f>M425+N425</f>
        <v/>
      </c>
      <c r="Q425" s="71">
        <f>O425-P425</f>
        <v/>
      </c>
      <c r="U425" s="70">
        <f>IF(R425="Paid",0,IF(TODAY()&gt;G425,TODAY()-G425,0))</f>
        <v/>
      </c>
    </row>
    <row r="426" s="11">
      <c r="M426" s="71">
        <f>K426-L426</f>
        <v/>
      </c>
      <c r="N426" s="71">
        <f>M426*Settings!$B$12</f>
        <v/>
      </c>
      <c r="O426" s="71">
        <f>M426+N426</f>
        <v/>
      </c>
      <c r="Q426" s="71">
        <f>O426-P426</f>
        <v/>
      </c>
      <c r="U426" s="70">
        <f>IF(R426="Paid",0,IF(TODAY()&gt;G426,TODAY()-G426,0))</f>
        <v/>
      </c>
    </row>
    <row r="427" s="11">
      <c r="M427" s="71">
        <f>K427-L427</f>
        <v/>
      </c>
      <c r="N427" s="71">
        <f>M427*Settings!$B$12</f>
        <v/>
      </c>
      <c r="O427" s="71">
        <f>M427+N427</f>
        <v/>
      </c>
      <c r="Q427" s="71">
        <f>O427-P427</f>
        <v/>
      </c>
      <c r="U427" s="70">
        <f>IF(R427="Paid",0,IF(TODAY()&gt;G427,TODAY()-G427,0))</f>
        <v/>
      </c>
    </row>
    <row r="428" s="11">
      <c r="M428" s="71">
        <f>K428-L428</f>
        <v/>
      </c>
      <c r="N428" s="71">
        <f>M428*Settings!$B$12</f>
        <v/>
      </c>
      <c r="O428" s="71">
        <f>M428+N428</f>
        <v/>
      </c>
      <c r="Q428" s="71">
        <f>O428-P428</f>
        <v/>
      </c>
      <c r="U428" s="70">
        <f>IF(R428="Paid",0,IF(TODAY()&gt;G428,TODAY()-G428,0))</f>
        <v/>
      </c>
    </row>
    <row r="429" s="11">
      <c r="M429" s="71">
        <f>K429-L429</f>
        <v/>
      </c>
      <c r="N429" s="71">
        <f>M429*Settings!$B$12</f>
        <v/>
      </c>
      <c r="O429" s="71">
        <f>M429+N429</f>
        <v/>
      </c>
      <c r="Q429" s="71">
        <f>O429-P429</f>
        <v/>
      </c>
      <c r="U429" s="70">
        <f>IF(R429="Paid",0,IF(TODAY()&gt;G429,TODAY()-G429,0))</f>
        <v/>
      </c>
    </row>
    <row r="430" s="11">
      <c r="M430" s="71">
        <f>K430-L430</f>
        <v/>
      </c>
      <c r="N430" s="71">
        <f>M430*Settings!$B$12</f>
        <v/>
      </c>
      <c r="O430" s="71">
        <f>M430+N430</f>
        <v/>
      </c>
      <c r="Q430" s="71">
        <f>O430-P430</f>
        <v/>
      </c>
      <c r="U430" s="70">
        <f>IF(R430="Paid",0,IF(TODAY()&gt;G430,TODAY()-G430,0))</f>
        <v/>
      </c>
    </row>
    <row r="431" s="11">
      <c r="M431" s="71">
        <f>K431-L431</f>
        <v/>
      </c>
      <c r="N431" s="71">
        <f>M431*Settings!$B$12</f>
        <v/>
      </c>
      <c r="O431" s="71">
        <f>M431+N431</f>
        <v/>
      </c>
      <c r="Q431" s="71">
        <f>O431-P431</f>
        <v/>
      </c>
      <c r="U431" s="70">
        <f>IF(R431="Paid",0,IF(TODAY()&gt;G431,TODAY()-G431,0))</f>
        <v/>
      </c>
    </row>
    <row r="432" s="11">
      <c r="M432" s="71">
        <f>K432-L432</f>
        <v/>
      </c>
      <c r="N432" s="71">
        <f>M432*Settings!$B$12</f>
        <v/>
      </c>
      <c r="O432" s="71">
        <f>M432+N432</f>
        <v/>
      </c>
      <c r="Q432" s="71">
        <f>O432-P432</f>
        <v/>
      </c>
      <c r="U432" s="70">
        <f>IF(R432="Paid",0,IF(TODAY()&gt;G432,TODAY()-G432,0))</f>
        <v/>
      </c>
    </row>
    <row r="433" s="11">
      <c r="M433" s="71">
        <f>K433-L433</f>
        <v/>
      </c>
      <c r="N433" s="71">
        <f>M433*Settings!$B$12</f>
        <v/>
      </c>
      <c r="O433" s="71">
        <f>M433+N433</f>
        <v/>
      </c>
      <c r="Q433" s="71">
        <f>O433-P433</f>
        <v/>
      </c>
      <c r="U433" s="70">
        <f>IF(R433="Paid",0,IF(TODAY()&gt;G433,TODAY()-G433,0))</f>
        <v/>
      </c>
    </row>
    <row r="434" s="11">
      <c r="M434" s="71">
        <f>K434-L434</f>
        <v/>
      </c>
      <c r="N434" s="71">
        <f>M434*Settings!$B$12</f>
        <v/>
      </c>
      <c r="O434" s="71">
        <f>M434+N434</f>
        <v/>
      </c>
      <c r="Q434" s="71">
        <f>O434-P434</f>
        <v/>
      </c>
      <c r="U434" s="70">
        <f>IF(R434="Paid",0,IF(TODAY()&gt;G434,TODAY()-G434,0))</f>
        <v/>
      </c>
    </row>
    <row r="435" s="11">
      <c r="M435" s="71">
        <f>K435-L435</f>
        <v/>
      </c>
      <c r="N435" s="71">
        <f>M435*Settings!$B$12</f>
        <v/>
      </c>
      <c r="O435" s="71">
        <f>M435+N435</f>
        <v/>
      </c>
      <c r="Q435" s="71">
        <f>O435-P435</f>
        <v/>
      </c>
      <c r="U435" s="70">
        <f>IF(R435="Paid",0,IF(TODAY()&gt;G435,TODAY()-G435,0))</f>
        <v/>
      </c>
    </row>
    <row r="436" s="11">
      <c r="M436" s="71">
        <f>K436-L436</f>
        <v/>
      </c>
      <c r="N436" s="71">
        <f>M436*Settings!$B$12</f>
        <v/>
      </c>
      <c r="O436" s="71">
        <f>M436+N436</f>
        <v/>
      </c>
      <c r="Q436" s="71">
        <f>O436-P436</f>
        <v/>
      </c>
      <c r="U436" s="70">
        <f>IF(R436="Paid",0,IF(TODAY()&gt;G436,TODAY()-G436,0))</f>
        <v/>
      </c>
    </row>
    <row r="437" s="11">
      <c r="M437" s="71">
        <f>K437-L437</f>
        <v/>
      </c>
      <c r="N437" s="71">
        <f>M437*Settings!$B$12</f>
        <v/>
      </c>
      <c r="O437" s="71">
        <f>M437+N437</f>
        <v/>
      </c>
      <c r="Q437" s="71">
        <f>O437-P437</f>
        <v/>
      </c>
      <c r="U437" s="70">
        <f>IF(R437="Paid",0,IF(TODAY()&gt;G437,TODAY()-G437,0))</f>
        <v/>
      </c>
    </row>
    <row r="438" s="11">
      <c r="M438" s="71">
        <f>K438-L438</f>
        <v/>
      </c>
      <c r="N438" s="71">
        <f>M438*Settings!$B$12</f>
        <v/>
      </c>
      <c r="O438" s="71">
        <f>M438+N438</f>
        <v/>
      </c>
      <c r="Q438" s="71">
        <f>O438-P438</f>
        <v/>
      </c>
      <c r="U438" s="70">
        <f>IF(R438="Paid",0,IF(TODAY()&gt;G438,TODAY()-G438,0))</f>
        <v/>
      </c>
    </row>
    <row r="439" s="11">
      <c r="M439" s="71">
        <f>K439-L439</f>
        <v/>
      </c>
      <c r="N439" s="71">
        <f>M439*Settings!$B$12</f>
        <v/>
      </c>
      <c r="O439" s="71">
        <f>M439+N439</f>
        <v/>
      </c>
      <c r="Q439" s="71">
        <f>O439-P439</f>
        <v/>
      </c>
      <c r="U439" s="70">
        <f>IF(R439="Paid",0,IF(TODAY()&gt;G439,TODAY()-G439,0))</f>
        <v/>
      </c>
    </row>
    <row r="440" s="11">
      <c r="M440" s="71">
        <f>K440-L440</f>
        <v/>
      </c>
      <c r="N440" s="71">
        <f>M440*Settings!$B$12</f>
        <v/>
      </c>
      <c r="O440" s="71">
        <f>M440+N440</f>
        <v/>
      </c>
      <c r="Q440" s="71">
        <f>O440-P440</f>
        <v/>
      </c>
      <c r="U440" s="70">
        <f>IF(R440="Paid",0,IF(TODAY()&gt;G440,TODAY()-G440,0))</f>
        <v/>
      </c>
    </row>
    <row r="441" s="11">
      <c r="M441" s="71">
        <f>K441-L441</f>
        <v/>
      </c>
      <c r="N441" s="71">
        <f>M441*Settings!$B$12</f>
        <v/>
      </c>
      <c r="O441" s="71">
        <f>M441+N441</f>
        <v/>
      </c>
      <c r="Q441" s="71">
        <f>O441-P441</f>
        <v/>
      </c>
      <c r="U441" s="70">
        <f>IF(R441="Paid",0,IF(TODAY()&gt;G441,TODAY()-G441,0))</f>
        <v/>
      </c>
    </row>
    <row r="442" s="11">
      <c r="M442" s="71">
        <f>K442-L442</f>
        <v/>
      </c>
      <c r="N442" s="71">
        <f>M442*Settings!$B$12</f>
        <v/>
      </c>
      <c r="O442" s="71">
        <f>M442+N442</f>
        <v/>
      </c>
      <c r="Q442" s="71">
        <f>O442-P442</f>
        <v/>
      </c>
      <c r="U442" s="70">
        <f>IF(R442="Paid",0,IF(TODAY()&gt;G442,TODAY()-G442,0))</f>
        <v/>
      </c>
    </row>
    <row r="443" s="11">
      <c r="M443" s="71">
        <f>K443-L443</f>
        <v/>
      </c>
      <c r="N443" s="71">
        <f>M443*Settings!$B$12</f>
        <v/>
      </c>
      <c r="O443" s="71">
        <f>M443+N443</f>
        <v/>
      </c>
      <c r="Q443" s="71">
        <f>O443-P443</f>
        <v/>
      </c>
      <c r="U443" s="70">
        <f>IF(R443="Paid",0,IF(TODAY()&gt;G443,TODAY()-G443,0))</f>
        <v/>
      </c>
    </row>
    <row r="444" s="11">
      <c r="M444" s="71">
        <f>K444-L444</f>
        <v/>
      </c>
      <c r="N444" s="71">
        <f>M444*Settings!$B$12</f>
        <v/>
      </c>
      <c r="O444" s="71">
        <f>M444+N444</f>
        <v/>
      </c>
      <c r="Q444" s="71">
        <f>O444-P444</f>
        <v/>
      </c>
      <c r="U444" s="70">
        <f>IF(R444="Paid",0,IF(TODAY()&gt;G444,TODAY()-G444,0))</f>
        <v/>
      </c>
    </row>
    <row r="445" s="11">
      <c r="M445" s="71">
        <f>K445-L445</f>
        <v/>
      </c>
      <c r="N445" s="71">
        <f>M445*Settings!$B$12</f>
        <v/>
      </c>
      <c r="O445" s="71">
        <f>M445+N445</f>
        <v/>
      </c>
      <c r="Q445" s="71">
        <f>O445-P445</f>
        <v/>
      </c>
      <c r="U445" s="70">
        <f>IF(R445="Paid",0,IF(TODAY()&gt;G445,TODAY()-G445,0))</f>
        <v/>
      </c>
    </row>
    <row r="446" s="11">
      <c r="M446" s="71">
        <f>K446-L446</f>
        <v/>
      </c>
      <c r="N446" s="71">
        <f>M446*Settings!$B$12</f>
        <v/>
      </c>
      <c r="O446" s="71">
        <f>M446+N446</f>
        <v/>
      </c>
      <c r="Q446" s="71">
        <f>O446-P446</f>
        <v/>
      </c>
      <c r="U446" s="70">
        <f>IF(R446="Paid",0,IF(TODAY()&gt;G446,TODAY()-G446,0))</f>
        <v/>
      </c>
    </row>
    <row r="447" s="11">
      <c r="M447" s="71">
        <f>K447-L447</f>
        <v/>
      </c>
      <c r="N447" s="71">
        <f>M447*Settings!$B$12</f>
        <v/>
      </c>
      <c r="O447" s="71">
        <f>M447+N447</f>
        <v/>
      </c>
      <c r="Q447" s="71">
        <f>O447-P447</f>
        <v/>
      </c>
      <c r="U447" s="70">
        <f>IF(R447="Paid",0,IF(TODAY()&gt;G447,TODAY()-G447,0))</f>
        <v/>
      </c>
    </row>
    <row r="448" s="11">
      <c r="M448" s="71">
        <f>K448-L448</f>
        <v/>
      </c>
      <c r="N448" s="71">
        <f>M448*Settings!$B$12</f>
        <v/>
      </c>
      <c r="O448" s="71">
        <f>M448+N448</f>
        <v/>
      </c>
      <c r="Q448" s="71">
        <f>O448-P448</f>
        <v/>
      </c>
      <c r="U448" s="70">
        <f>IF(R448="Paid",0,IF(TODAY()&gt;G448,TODAY()-G448,0))</f>
        <v/>
      </c>
    </row>
    <row r="449" s="11">
      <c r="M449" s="71">
        <f>K449-L449</f>
        <v/>
      </c>
      <c r="N449" s="71">
        <f>M449*Settings!$B$12</f>
        <v/>
      </c>
      <c r="O449" s="71">
        <f>M449+N449</f>
        <v/>
      </c>
      <c r="Q449" s="71">
        <f>O449-P449</f>
        <v/>
      </c>
      <c r="U449" s="70">
        <f>IF(R449="Paid",0,IF(TODAY()&gt;G449,TODAY()-G449,0))</f>
        <v/>
      </c>
    </row>
    <row r="450" s="11">
      <c r="M450" s="71">
        <f>K450-L450</f>
        <v/>
      </c>
      <c r="N450" s="71">
        <f>M450*Settings!$B$12</f>
        <v/>
      </c>
      <c r="O450" s="71">
        <f>M450+N450</f>
        <v/>
      </c>
      <c r="Q450" s="71">
        <f>O450-P450</f>
        <v/>
      </c>
      <c r="U450" s="70">
        <f>IF(R450="Paid",0,IF(TODAY()&gt;G450,TODAY()-G450,0))</f>
        <v/>
      </c>
    </row>
    <row r="451" s="11">
      <c r="M451" s="71">
        <f>K451-L451</f>
        <v/>
      </c>
      <c r="N451" s="71">
        <f>M451*Settings!$B$12</f>
        <v/>
      </c>
      <c r="O451" s="71">
        <f>M451+N451</f>
        <v/>
      </c>
      <c r="Q451" s="71">
        <f>O451-P451</f>
        <v/>
      </c>
      <c r="U451" s="70">
        <f>IF(R451="Paid",0,IF(TODAY()&gt;G451,TODAY()-G451,0))</f>
        <v/>
      </c>
    </row>
    <row r="452" s="11">
      <c r="M452" s="71">
        <f>K452-L452</f>
        <v/>
      </c>
      <c r="N452" s="71">
        <f>M452*Settings!$B$12</f>
        <v/>
      </c>
      <c r="O452" s="71">
        <f>M452+N452</f>
        <v/>
      </c>
      <c r="Q452" s="71">
        <f>O452-P452</f>
        <v/>
      </c>
      <c r="U452" s="70">
        <f>IF(R452="Paid",0,IF(TODAY()&gt;G452,TODAY()-G452,0))</f>
        <v/>
      </c>
    </row>
    <row r="453" s="11">
      <c r="M453" s="71">
        <f>K453-L453</f>
        <v/>
      </c>
      <c r="N453" s="71">
        <f>M453*Settings!$B$12</f>
        <v/>
      </c>
      <c r="O453" s="71">
        <f>M453+N453</f>
        <v/>
      </c>
      <c r="Q453" s="71">
        <f>O453-P453</f>
        <v/>
      </c>
      <c r="U453" s="70">
        <f>IF(R453="Paid",0,IF(TODAY()&gt;G453,TODAY()-G453,0))</f>
        <v/>
      </c>
    </row>
    <row r="454" s="11">
      <c r="M454" s="71">
        <f>K454-L454</f>
        <v/>
      </c>
      <c r="N454" s="71">
        <f>M454*Settings!$B$12</f>
        <v/>
      </c>
      <c r="O454" s="71">
        <f>M454+N454</f>
        <v/>
      </c>
      <c r="Q454" s="71">
        <f>O454-P454</f>
        <v/>
      </c>
      <c r="U454" s="70">
        <f>IF(R454="Paid",0,IF(TODAY()&gt;G454,TODAY()-G454,0))</f>
        <v/>
      </c>
    </row>
    <row r="455" s="11">
      <c r="M455" s="71">
        <f>K455-L455</f>
        <v/>
      </c>
      <c r="N455" s="71">
        <f>M455*Settings!$B$12</f>
        <v/>
      </c>
      <c r="O455" s="71">
        <f>M455+N455</f>
        <v/>
      </c>
      <c r="Q455" s="71">
        <f>O455-P455</f>
        <v/>
      </c>
      <c r="U455" s="70">
        <f>IF(R455="Paid",0,IF(TODAY()&gt;G455,TODAY()-G455,0))</f>
        <v/>
      </c>
    </row>
    <row r="456" s="11">
      <c r="M456" s="71">
        <f>K456-L456</f>
        <v/>
      </c>
      <c r="N456" s="71">
        <f>M456*Settings!$B$12</f>
        <v/>
      </c>
      <c r="O456" s="71">
        <f>M456+N456</f>
        <v/>
      </c>
      <c r="Q456" s="71">
        <f>O456-P456</f>
        <v/>
      </c>
      <c r="U456" s="70">
        <f>IF(R456="Paid",0,IF(TODAY()&gt;G456,TODAY()-G456,0))</f>
        <v/>
      </c>
    </row>
    <row r="457" s="11">
      <c r="M457" s="71">
        <f>K457-L457</f>
        <v/>
      </c>
      <c r="N457" s="71">
        <f>M457*Settings!$B$12</f>
        <v/>
      </c>
      <c r="O457" s="71">
        <f>M457+N457</f>
        <v/>
      </c>
      <c r="Q457" s="71">
        <f>O457-P457</f>
        <v/>
      </c>
      <c r="U457" s="70">
        <f>IF(R457="Paid",0,IF(TODAY()&gt;G457,TODAY()-G457,0))</f>
        <v/>
      </c>
    </row>
    <row r="458" s="11">
      <c r="M458" s="71">
        <f>K458-L458</f>
        <v/>
      </c>
      <c r="N458" s="71">
        <f>M458*Settings!$B$12</f>
        <v/>
      </c>
      <c r="O458" s="71">
        <f>M458+N458</f>
        <v/>
      </c>
      <c r="Q458" s="71">
        <f>O458-P458</f>
        <v/>
      </c>
      <c r="U458" s="70">
        <f>IF(R458="Paid",0,IF(TODAY()&gt;G458,TODAY()-G458,0))</f>
        <v/>
      </c>
    </row>
    <row r="459" s="11">
      <c r="M459" s="71">
        <f>K459-L459</f>
        <v/>
      </c>
      <c r="N459" s="71">
        <f>M459*Settings!$B$12</f>
        <v/>
      </c>
      <c r="O459" s="71">
        <f>M459+N459</f>
        <v/>
      </c>
      <c r="Q459" s="71">
        <f>O459-P459</f>
        <v/>
      </c>
      <c r="U459" s="70">
        <f>IF(R459="Paid",0,IF(TODAY()&gt;G459,TODAY()-G459,0))</f>
        <v/>
      </c>
    </row>
    <row r="460" s="11">
      <c r="M460" s="71">
        <f>K460-L460</f>
        <v/>
      </c>
      <c r="N460" s="71">
        <f>M460*Settings!$B$12</f>
        <v/>
      </c>
      <c r="O460" s="71">
        <f>M460+N460</f>
        <v/>
      </c>
      <c r="Q460" s="71">
        <f>O460-P460</f>
        <v/>
      </c>
      <c r="U460" s="70">
        <f>IF(R460="Paid",0,IF(TODAY()&gt;G460,TODAY()-G460,0))</f>
        <v/>
      </c>
    </row>
    <row r="461" s="11">
      <c r="M461" s="71">
        <f>K461-L461</f>
        <v/>
      </c>
      <c r="N461" s="71">
        <f>M461*Settings!$B$12</f>
        <v/>
      </c>
      <c r="O461" s="71">
        <f>M461+N461</f>
        <v/>
      </c>
      <c r="Q461" s="71">
        <f>O461-P461</f>
        <v/>
      </c>
      <c r="U461" s="70">
        <f>IF(R461="Paid",0,IF(TODAY()&gt;G461,TODAY()-G461,0))</f>
        <v/>
      </c>
    </row>
    <row r="462" s="11">
      <c r="M462" s="71">
        <f>K462-L462</f>
        <v/>
      </c>
      <c r="N462" s="71">
        <f>M462*Settings!$B$12</f>
        <v/>
      </c>
      <c r="O462" s="71">
        <f>M462+N462</f>
        <v/>
      </c>
      <c r="Q462" s="71">
        <f>O462-P462</f>
        <v/>
      </c>
      <c r="U462" s="70">
        <f>IF(R462="Paid",0,IF(TODAY()&gt;G462,TODAY()-G462,0))</f>
        <v/>
      </c>
    </row>
    <row r="463" s="11">
      <c r="M463" s="71">
        <f>K463-L463</f>
        <v/>
      </c>
      <c r="N463" s="71">
        <f>M463*Settings!$B$12</f>
        <v/>
      </c>
      <c r="O463" s="71">
        <f>M463+N463</f>
        <v/>
      </c>
      <c r="Q463" s="71">
        <f>O463-P463</f>
        <v/>
      </c>
      <c r="U463" s="70">
        <f>IF(R463="Paid",0,IF(TODAY()&gt;G463,TODAY()-G463,0))</f>
        <v/>
      </c>
    </row>
    <row r="464" s="11">
      <c r="M464" s="71">
        <f>K464-L464</f>
        <v/>
      </c>
      <c r="N464" s="71">
        <f>M464*Settings!$B$12</f>
        <v/>
      </c>
      <c r="O464" s="71">
        <f>M464+N464</f>
        <v/>
      </c>
      <c r="Q464" s="71">
        <f>O464-P464</f>
        <v/>
      </c>
      <c r="U464" s="70">
        <f>IF(R464="Paid",0,IF(TODAY()&gt;G464,TODAY()-G464,0))</f>
        <v/>
      </c>
    </row>
    <row r="465" s="11">
      <c r="M465" s="71">
        <f>K465-L465</f>
        <v/>
      </c>
      <c r="N465" s="71">
        <f>M465*Settings!$B$12</f>
        <v/>
      </c>
      <c r="O465" s="71">
        <f>M465+N465</f>
        <v/>
      </c>
      <c r="Q465" s="71">
        <f>O465-P465</f>
        <v/>
      </c>
      <c r="U465" s="70">
        <f>IF(R465="Paid",0,IF(TODAY()&gt;G465,TODAY()-G465,0))</f>
        <v/>
      </c>
    </row>
    <row r="466" s="11">
      <c r="M466" s="71">
        <f>K466-L466</f>
        <v/>
      </c>
      <c r="N466" s="71">
        <f>M466*Settings!$B$12</f>
        <v/>
      </c>
      <c r="O466" s="71">
        <f>M466+N466</f>
        <v/>
      </c>
      <c r="Q466" s="71">
        <f>O466-P466</f>
        <v/>
      </c>
      <c r="U466" s="70">
        <f>IF(R466="Paid",0,IF(TODAY()&gt;G466,TODAY()-G466,0))</f>
        <v/>
      </c>
    </row>
    <row r="467" s="11">
      <c r="M467" s="71">
        <f>K467-L467</f>
        <v/>
      </c>
      <c r="N467" s="71">
        <f>M467*Settings!$B$12</f>
        <v/>
      </c>
      <c r="O467" s="71">
        <f>M467+N467</f>
        <v/>
      </c>
      <c r="Q467" s="71">
        <f>O467-P467</f>
        <v/>
      </c>
      <c r="U467" s="70">
        <f>IF(R467="Paid",0,IF(TODAY()&gt;G467,TODAY()-G467,0))</f>
        <v/>
      </c>
    </row>
    <row r="468" s="11">
      <c r="M468" s="71">
        <f>K468-L468</f>
        <v/>
      </c>
      <c r="N468" s="71">
        <f>M468*Settings!$B$12</f>
        <v/>
      </c>
      <c r="O468" s="71">
        <f>M468+N468</f>
        <v/>
      </c>
      <c r="Q468" s="71">
        <f>O468-P468</f>
        <v/>
      </c>
      <c r="U468" s="70">
        <f>IF(R468="Paid",0,IF(TODAY()&gt;G468,TODAY()-G468,0))</f>
        <v/>
      </c>
    </row>
    <row r="469" s="11">
      <c r="M469" s="71">
        <f>K469-L469</f>
        <v/>
      </c>
      <c r="N469" s="71">
        <f>M469*Settings!$B$12</f>
        <v/>
      </c>
      <c r="O469" s="71">
        <f>M469+N469</f>
        <v/>
      </c>
      <c r="Q469" s="71">
        <f>O469-P469</f>
        <v/>
      </c>
      <c r="U469" s="70">
        <f>IF(R469="Paid",0,IF(TODAY()&gt;G469,TODAY()-G469,0))</f>
        <v/>
      </c>
    </row>
    <row r="470" s="11">
      <c r="M470" s="71">
        <f>K470-L470</f>
        <v/>
      </c>
      <c r="N470" s="71">
        <f>M470*Settings!$B$12</f>
        <v/>
      </c>
      <c r="O470" s="71">
        <f>M470+N470</f>
        <v/>
      </c>
      <c r="Q470" s="71">
        <f>O470-P470</f>
        <v/>
      </c>
      <c r="U470" s="70">
        <f>IF(R470="Paid",0,IF(TODAY()&gt;G470,TODAY()-G470,0))</f>
        <v/>
      </c>
    </row>
    <row r="471" s="11">
      <c r="M471" s="71">
        <f>K471-L471</f>
        <v/>
      </c>
      <c r="N471" s="71">
        <f>M471*Settings!$B$12</f>
        <v/>
      </c>
      <c r="O471" s="71">
        <f>M471+N471</f>
        <v/>
      </c>
      <c r="Q471" s="71">
        <f>O471-P471</f>
        <v/>
      </c>
      <c r="U471" s="70">
        <f>IF(R471="Paid",0,IF(TODAY()&gt;G471,TODAY()-G471,0))</f>
        <v/>
      </c>
    </row>
    <row r="472" s="11">
      <c r="M472" s="71">
        <f>K472-L472</f>
        <v/>
      </c>
      <c r="N472" s="71">
        <f>M472*Settings!$B$12</f>
        <v/>
      </c>
      <c r="O472" s="71">
        <f>M472+N472</f>
        <v/>
      </c>
      <c r="Q472" s="71">
        <f>O472-P472</f>
        <v/>
      </c>
      <c r="U472" s="70">
        <f>IF(R472="Paid",0,IF(TODAY()&gt;G472,TODAY()-G472,0))</f>
        <v/>
      </c>
    </row>
    <row r="473" s="11">
      <c r="M473" s="71">
        <f>K473-L473</f>
        <v/>
      </c>
      <c r="N473" s="71">
        <f>M473*Settings!$B$12</f>
        <v/>
      </c>
      <c r="O473" s="71">
        <f>M473+N473</f>
        <v/>
      </c>
      <c r="Q473" s="71">
        <f>O473-P473</f>
        <v/>
      </c>
      <c r="U473" s="70">
        <f>IF(R473="Paid",0,IF(TODAY()&gt;G473,TODAY()-G473,0))</f>
        <v/>
      </c>
    </row>
    <row r="474" s="11">
      <c r="M474" s="71">
        <f>K474-L474</f>
        <v/>
      </c>
      <c r="N474" s="71">
        <f>M474*Settings!$B$12</f>
        <v/>
      </c>
      <c r="O474" s="71">
        <f>M474+N474</f>
        <v/>
      </c>
      <c r="Q474" s="71">
        <f>O474-P474</f>
        <v/>
      </c>
      <c r="U474" s="70">
        <f>IF(R474="Paid",0,IF(TODAY()&gt;G474,TODAY()-G474,0))</f>
        <v/>
      </c>
    </row>
    <row r="475" s="11">
      <c r="M475" s="71">
        <f>K475-L475</f>
        <v/>
      </c>
      <c r="N475" s="71">
        <f>M475*Settings!$B$12</f>
        <v/>
      </c>
      <c r="O475" s="71">
        <f>M475+N475</f>
        <v/>
      </c>
      <c r="Q475" s="71">
        <f>O475-P475</f>
        <v/>
      </c>
      <c r="U475" s="70">
        <f>IF(R475="Paid",0,IF(TODAY()&gt;G475,TODAY()-G475,0))</f>
        <v/>
      </c>
    </row>
    <row r="476" s="11">
      <c r="M476" s="71">
        <f>K476-L476</f>
        <v/>
      </c>
      <c r="N476" s="71">
        <f>M476*Settings!$B$12</f>
        <v/>
      </c>
      <c r="O476" s="71">
        <f>M476+N476</f>
        <v/>
      </c>
      <c r="Q476" s="71">
        <f>O476-P476</f>
        <v/>
      </c>
      <c r="U476" s="70">
        <f>IF(R476="Paid",0,IF(TODAY()&gt;G476,TODAY()-G476,0))</f>
        <v/>
      </c>
    </row>
    <row r="477" s="11">
      <c r="M477" s="71">
        <f>K477-L477</f>
        <v/>
      </c>
      <c r="N477" s="71">
        <f>M477*Settings!$B$12</f>
        <v/>
      </c>
      <c r="O477" s="71">
        <f>M477+N477</f>
        <v/>
      </c>
      <c r="Q477" s="71">
        <f>O477-P477</f>
        <v/>
      </c>
      <c r="U477" s="70">
        <f>IF(R477="Paid",0,IF(TODAY()&gt;G477,TODAY()-G477,0))</f>
        <v/>
      </c>
    </row>
    <row r="478" s="11">
      <c r="M478" s="71">
        <f>K478-L478</f>
        <v/>
      </c>
      <c r="N478" s="71">
        <f>M478*Settings!$B$12</f>
        <v/>
      </c>
      <c r="O478" s="71">
        <f>M478+N478</f>
        <v/>
      </c>
      <c r="Q478" s="71">
        <f>O478-P478</f>
        <v/>
      </c>
      <c r="U478" s="70">
        <f>IF(R478="Paid",0,IF(TODAY()&gt;G478,TODAY()-G478,0))</f>
        <v/>
      </c>
    </row>
    <row r="479" s="11">
      <c r="M479" s="71">
        <f>K479-L479</f>
        <v/>
      </c>
      <c r="N479" s="71">
        <f>M479*Settings!$B$12</f>
        <v/>
      </c>
      <c r="O479" s="71">
        <f>M479+N479</f>
        <v/>
      </c>
      <c r="Q479" s="71">
        <f>O479-P479</f>
        <v/>
      </c>
      <c r="U479" s="70">
        <f>IF(R479="Paid",0,IF(TODAY()&gt;G479,TODAY()-G479,0))</f>
        <v/>
      </c>
    </row>
    <row r="480" s="11">
      <c r="M480" s="71">
        <f>K480-L480</f>
        <v/>
      </c>
      <c r="N480" s="71">
        <f>M480*Settings!$B$12</f>
        <v/>
      </c>
      <c r="O480" s="71">
        <f>M480+N480</f>
        <v/>
      </c>
      <c r="Q480" s="71">
        <f>O480-P480</f>
        <v/>
      </c>
      <c r="U480" s="70">
        <f>IF(R480="Paid",0,IF(TODAY()&gt;G480,TODAY()-G480,0))</f>
        <v/>
      </c>
    </row>
    <row r="481" s="11">
      <c r="M481" s="71">
        <f>K481-L481</f>
        <v/>
      </c>
      <c r="N481" s="71">
        <f>M481*Settings!$B$12</f>
        <v/>
      </c>
      <c r="O481" s="71">
        <f>M481+N481</f>
        <v/>
      </c>
      <c r="Q481" s="71">
        <f>O481-P481</f>
        <v/>
      </c>
      <c r="U481" s="70">
        <f>IF(R481="Paid",0,IF(TODAY()&gt;G481,TODAY()-G481,0))</f>
        <v/>
      </c>
    </row>
    <row r="482" s="11">
      <c r="M482" s="71">
        <f>K482-L482</f>
        <v/>
      </c>
      <c r="N482" s="71">
        <f>M482*Settings!$B$12</f>
        <v/>
      </c>
      <c r="O482" s="71">
        <f>M482+N482</f>
        <v/>
      </c>
      <c r="Q482" s="71">
        <f>O482-P482</f>
        <v/>
      </c>
      <c r="U482" s="70">
        <f>IF(R482="Paid",0,IF(TODAY()&gt;G482,TODAY()-G482,0))</f>
        <v/>
      </c>
    </row>
    <row r="483" s="11">
      <c r="M483" s="71">
        <f>K483-L483</f>
        <v/>
      </c>
      <c r="N483" s="71">
        <f>M483*Settings!$B$12</f>
        <v/>
      </c>
      <c r="O483" s="71">
        <f>M483+N483</f>
        <v/>
      </c>
      <c r="Q483" s="71">
        <f>O483-P483</f>
        <v/>
      </c>
      <c r="U483" s="70">
        <f>IF(R483="Paid",0,IF(TODAY()&gt;G483,TODAY()-G483,0))</f>
        <v/>
      </c>
    </row>
    <row r="484" s="11">
      <c r="M484" s="71">
        <f>K484-L484</f>
        <v/>
      </c>
      <c r="N484" s="71">
        <f>M484*Settings!$B$12</f>
        <v/>
      </c>
      <c r="O484" s="71">
        <f>M484+N484</f>
        <v/>
      </c>
      <c r="Q484" s="71">
        <f>O484-P484</f>
        <v/>
      </c>
      <c r="U484" s="70">
        <f>IF(R484="Paid",0,IF(TODAY()&gt;G484,TODAY()-G484,0))</f>
        <v/>
      </c>
    </row>
    <row r="485" s="11">
      <c r="M485" s="71">
        <f>K485-L485</f>
        <v/>
      </c>
      <c r="N485" s="71">
        <f>M485*Settings!$B$12</f>
        <v/>
      </c>
      <c r="O485" s="71">
        <f>M485+N485</f>
        <v/>
      </c>
      <c r="Q485" s="71">
        <f>O485-P485</f>
        <v/>
      </c>
      <c r="U485" s="70">
        <f>IF(R485="Paid",0,IF(TODAY()&gt;G485,TODAY()-G485,0))</f>
        <v/>
      </c>
    </row>
    <row r="486" s="11">
      <c r="M486" s="71">
        <f>K486-L486</f>
        <v/>
      </c>
      <c r="N486" s="71">
        <f>M486*Settings!$B$12</f>
        <v/>
      </c>
      <c r="O486" s="71">
        <f>M486+N486</f>
        <v/>
      </c>
      <c r="Q486" s="71">
        <f>O486-P486</f>
        <v/>
      </c>
      <c r="U486" s="70">
        <f>IF(R486="Paid",0,IF(TODAY()&gt;G486,TODAY()-G486,0))</f>
        <v/>
      </c>
    </row>
    <row r="487" s="11">
      <c r="M487" s="71">
        <f>K487-L487</f>
        <v/>
      </c>
      <c r="N487" s="71">
        <f>M487*Settings!$B$12</f>
        <v/>
      </c>
      <c r="O487" s="71">
        <f>M487+N487</f>
        <v/>
      </c>
      <c r="Q487" s="71">
        <f>O487-P487</f>
        <v/>
      </c>
      <c r="U487" s="70">
        <f>IF(R487="Paid",0,IF(TODAY()&gt;G487,TODAY()-G487,0))</f>
        <v/>
      </c>
    </row>
    <row r="488" s="11">
      <c r="M488" s="71">
        <f>K488-L488</f>
        <v/>
      </c>
      <c r="N488" s="71">
        <f>M488*Settings!$B$12</f>
        <v/>
      </c>
      <c r="O488" s="71">
        <f>M488+N488</f>
        <v/>
      </c>
      <c r="Q488" s="71">
        <f>O488-P488</f>
        <v/>
      </c>
      <c r="U488" s="70">
        <f>IF(R488="Paid",0,IF(TODAY()&gt;G488,TODAY()-G488,0))</f>
        <v/>
      </c>
    </row>
    <row r="489" s="11">
      <c r="M489" s="71">
        <f>K489-L489</f>
        <v/>
      </c>
      <c r="N489" s="71">
        <f>M489*Settings!$B$12</f>
        <v/>
      </c>
      <c r="O489" s="71">
        <f>M489+N489</f>
        <v/>
      </c>
      <c r="Q489" s="71">
        <f>O489-P489</f>
        <v/>
      </c>
      <c r="U489" s="70">
        <f>IF(R489="Paid",0,IF(TODAY()&gt;G489,TODAY()-G489,0))</f>
        <v/>
      </c>
    </row>
    <row r="490" s="11">
      <c r="M490" s="71">
        <f>K490-L490</f>
        <v/>
      </c>
      <c r="N490" s="71">
        <f>M490*Settings!$B$12</f>
        <v/>
      </c>
      <c r="O490" s="71">
        <f>M490+N490</f>
        <v/>
      </c>
      <c r="Q490" s="71">
        <f>O490-P490</f>
        <v/>
      </c>
      <c r="U490" s="70">
        <f>IF(R490="Paid",0,IF(TODAY()&gt;G490,TODAY()-G490,0))</f>
        <v/>
      </c>
    </row>
    <row r="491" s="11">
      <c r="M491" s="71">
        <f>K491-L491</f>
        <v/>
      </c>
      <c r="N491" s="71">
        <f>M491*Settings!$B$12</f>
        <v/>
      </c>
      <c r="O491" s="71">
        <f>M491+N491</f>
        <v/>
      </c>
      <c r="Q491" s="71">
        <f>O491-P491</f>
        <v/>
      </c>
      <c r="U491" s="70">
        <f>IF(R491="Paid",0,IF(TODAY()&gt;G491,TODAY()-G491,0))</f>
        <v/>
      </c>
    </row>
    <row r="492" s="11">
      <c r="M492" s="71">
        <f>K492-L492</f>
        <v/>
      </c>
      <c r="N492" s="71">
        <f>M492*Settings!$B$12</f>
        <v/>
      </c>
      <c r="O492" s="71">
        <f>M492+N492</f>
        <v/>
      </c>
      <c r="Q492" s="71">
        <f>O492-P492</f>
        <v/>
      </c>
      <c r="U492" s="70">
        <f>IF(R492="Paid",0,IF(TODAY()&gt;G492,TODAY()-G492,0))</f>
        <v/>
      </c>
    </row>
    <row r="493" s="11">
      <c r="M493" s="71">
        <f>K493-L493</f>
        <v/>
      </c>
      <c r="N493" s="71">
        <f>M493*Settings!$B$12</f>
        <v/>
      </c>
      <c r="O493" s="71">
        <f>M493+N493</f>
        <v/>
      </c>
      <c r="Q493" s="71">
        <f>O493-P493</f>
        <v/>
      </c>
      <c r="U493" s="70">
        <f>IF(R493="Paid",0,IF(TODAY()&gt;G493,TODAY()-G493,0))</f>
        <v/>
      </c>
    </row>
    <row r="494" s="11">
      <c r="M494" s="71">
        <f>K494-L494</f>
        <v/>
      </c>
      <c r="N494" s="71">
        <f>M494*Settings!$B$12</f>
        <v/>
      </c>
      <c r="O494" s="71">
        <f>M494+N494</f>
        <v/>
      </c>
      <c r="Q494" s="71">
        <f>O494-P494</f>
        <v/>
      </c>
      <c r="U494" s="70">
        <f>IF(R494="Paid",0,IF(TODAY()&gt;G494,TODAY()-G494,0))</f>
        <v/>
      </c>
    </row>
    <row r="495" s="11">
      <c r="M495" s="71">
        <f>K495-L495</f>
        <v/>
      </c>
      <c r="N495" s="71">
        <f>M495*Settings!$B$12</f>
        <v/>
      </c>
      <c r="O495" s="71">
        <f>M495+N495</f>
        <v/>
      </c>
      <c r="Q495" s="71">
        <f>O495-P495</f>
        <v/>
      </c>
      <c r="U495" s="70">
        <f>IF(R495="Paid",0,IF(TODAY()&gt;G495,TODAY()-G495,0))</f>
        <v/>
      </c>
    </row>
    <row r="496" s="11">
      <c r="M496" s="71">
        <f>K496-L496</f>
        <v/>
      </c>
      <c r="N496" s="71">
        <f>M496*Settings!$B$12</f>
        <v/>
      </c>
      <c r="O496" s="71">
        <f>M496+N496</f>
        <v/>
      </c>
      <c r="Q496" s="71">
        <f>O496-P496</f>
        <v/>
      </c>
      <c r="U496" s="70">
        <f>IF(R496="Paid",0,IF(TODAY()&gt;G496,TODAY()-G496,0))</f>
        <v/>
      </c>
    </row>
    <row r="497" s="11">
      <c r="M497" s="71">
        <f>K497-L497</f>
        <v/>
      </c>
      <c r="N497" s="71">
        <f>M497*Settings!$B$12</f>
        <v/>
      </c>
      <c r="O497" s="71">
        <f>M497+N497</f>
        <v/>
      </c>
      <c r="Q497" s="71">
        <f>O497-P497</f>
        <v/>
      </c>
      <c r="U497" s="70">
        <f>IF(R497="Paid",0,IF(TODAY()&gt;G497,TODAY()-G497,0))</f>
        <v/>
      </c>
    </row>
    <row r="498" s="11">
      <c r="M498" s="71">
        <f>K498-L498</f>
        <v/>
      </c>
      <c r="N498" s="71">
        <f>M498*Settings!$B$12</f>
        <v/>
      </c>
      <c r="O498" s="71">
        <f>M498+N498</f>
        <v/>
      </c>
      <c r="Q498" s="71">
        <f>O498-P498</f>
        <v/>
      </c>
      <c r="U498" s="70">
        <f>IF(R498="Paid",0,IF(TODAY()&gt;G498,TODAY()-G498,0))</f>
        <v/>
      </c>
    </row>
    <row r="499" s="11">
      <c r="M499" s="71">
        <f>K499-L499</f>
        <v/>
      </c>
      <c r="N499" s="71">
        <f>M499*Settings!$B$12</f>
        <v/>
      </c>
      <c r="O499" s="71">
        <f>M499+N499</f>
        <v/>
      </c>
      <c r="Q499" s="71">
        <f>O499-P499</f>
        <v/>
      </c>
      <c r="U499" s="70">
        <f>IF(R499="Paid",0,IF(TODAY()&gt;G499,TODAY()-G499,0))</f>
        <v/>
      </c>
    </row>
    <row r="500" s="11">
      <c r="M500" s="71">
        <f>K500-L500</f>
        <v/>
      </c>
      <c r="N500" s="71">
        <f>M500*Settings!$B$12</f>
        <v/>
      </c>
      <c r="O500" s="71">
        <f>M500+N500</f>
        <v/>
      </c>
      <c r="Q500" s="71">
        <f>O500-P500</f>
        <v/>
      </c>
      <c r="U500" s="70">
        <f>IF(R500="Paid",0,IF(TODAY()&gt;G500,TODAY()-G500,0))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2" topLeftCell="A3" activePane="bottomLeft" state="frozen"/>
      <selection pane="bottomLeft" activeCell="C4" sqref="C4"/>
    </sheetView>
  </sheetViews>
  <sheetFormatPr baseColWidth="8" defaultRowHeight="14.5"/>
  <cols>
    <col width="10" customWidth="1" style="11" min="1" max="1"/>
    <col width="10" customWidth="1" style="11" min="2" max="2"/>
    <col width="10" customWidth="1" style="11" min="3" max="3"/>
    <col width="10" customWidth="1" style="11" min="4" max="4"/>
    <col width="12" customWidth="1" style="11" min="5" max="5"/>
    <col width="12" customWidth="1" style="11" min="6" max="6"/>
    <col width="16" customWidth="1" style="11" min="7" max="7"/>
    <col width="12" customWidth="1" style="11" min="8" max="8"/>
    <col width="10" customWidth="1" style="11" min="9" max="9"/>
    <col width="24" customWidth="1" style="11" min="10" max="11"/>
    <col width="10" customWidth="1" style="11" min="11" max="11"/>
  </cols>
  <sheetData>
    <row r="1" ht="18" customHeight="1" s="11">
      <c r="A1" s="77" t="inlineStr">
        <is>
          <t>⏱️  TIME LOG — Job Clock In / Clock Out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52" customHeight="1" s="11">
      <c r="A2" s="13" t="inlineStr">
        <is>
          <t>EntryID</t>
        </is>
      </c>
      <c r="B2" s="13" t="inlineStr">
        <is>
          <t>JobID</t>
        </is>
      </c>
      <c r="C2" s="13" t="inlineStr">
        <is>
          <t>Customer Name / Company</t>
        </is>
      </c>
      <c r="D2" s="13" t="inlineStr">
        <is>
          <t>Date</t>
        </is>
      </c>
      <c r="E2" s="13" t="inlineStr">
        <is>
          <t>Clock In
(HH:MM:SS)</t>
        </is>
      </c>
      <c r="F2" s="13" t="inlineStr">
        <is>
          <t>Clock Out
(HH:MM:SS)</t>
        </is>
      </c>
      <c r="G2" s="13" t="inlineStr">
        <is>
          <t>Elapsed
(min)
=(Out-In)*1440</t>
        </is>
      </c>
      <c r="H2" s="13" t="inlineStr">
        <is>
          <t>Crew /
Technician</t>
        </is>
      </c>
      <c r="I2" s="13" t="inlineStr">
        <is>
          <t>Notes</t>
        </is>
      </c>
      <c r="J2" s="13" t="inlineStr">
        <is>
          <t>Clock In GPS</t>
        </is>
      </c>
      <c r="K2" s="13" t="inlineStr">
        <is>
          <t>Clock Out GPS</t>
        </is>
      </c>
    </row>
    <row r="3" customFormat="1" s="9">
      <c r="A3" s="100" t="inlineStr">
        <is>
          <t>TL-0001</t>
        </is>
      </c>
      <c r="B3" s="100" t="inlineStr">
        <is>
          <t>JOB-0001</t>
        </is>
      </c>
      <c r="C3" s="100" t="inlineStr">
        <is>
          <t>Maria Gonzalez</t>
        </is>
      </c>
      <c r="D3" s="100" t="inlineStr">
        <is>
          <t>08/25/2026</t>
        </is>
      </c>
      <c r="E3" s="100" t="inlineStr">
        <is>
          <t>08:03</t>
        </is>
      </c>
      <c r="F3" s="100" t="inlineStr">
        <is>
          <t>09:08</t>
        </is>
      </c>
      <c r="G3" s="108">
        <f>(F3-E3)*1440</f>
        <v/>
      </c>
      <c r="H3" s="100" t="inlineStr">
        <is>
          <t>Carlos R.</t>
        </is>
      </c>
      <c r="I3" s="100" t="inlineStr">
        <is>
          <t>Job complete. All 12 panes cleaned, screens wiped. Customer happy.</t>
        </is>
      </c>
      <c r="J3" s="100" t="inlineStr">
        <is>
          <t>29.2103,-81.0227</t>
        </is>
      </c>
      <c r="K3" s="100" t="inlineStr">
        <is>
          <t>29.2103,-81.0227</t>
        </is>
      </c>
      <c r="L3" s="102" t="n"/>
    </row>
    <row r="4" customFormat="1" s="9">
      <c r="A4" s="67" t="n"/>
      <c r="B4" s="67" t="n"/>
      <c r="C4" s="67" t="n"/>
      <c r="D4" s="73" t="n"/>
      <c r="E4" s="74" t="n"/>
      <c r="F4" s="74" t="n"/>
      <c r="G4" s="70">
        <f>(F4-E4)*1440</f>
        <v/>
      </c>
      <c r="H4" s="67" t="n"/>
      <c r="I4" s="67" t="n"/>
      <c r="J4" s="74" t="n"/>
      <c r="K4" s="74" t="n"/>
      <c r="L4" s="67" t="n"/>
    </row>
    <row r="5" customFormat="1" s="9">
      <c r="G5" s="70">
        <f>(F5-E5)*1440</f>
        <v/>
      </c>
    </row>
    <row r="6" customFormat="1" s="9">
      <c r="G6" s="70">
        <f>(F6-E6)*1440</f>
        <v/>
      </c>
    </row>
    <row r="7" customFormat="1" s="9">
      <c r="G7" s="70">
        <f>(F7-E7)*1440</f>
        <v/>
      </c>
    </row>
    <row r="8" customFormat="1" s="9">
      <c r="G8" s="70">
        <f>(F8-E8)*1440</f>
        <v/>
      </c>
    </row>
    <row r="9" customFormat="1" s="9">
      <c r="G9" s="70">
        <f>(F9-E9)*1440</f>
        <v/>
      </c>
    </row>
    <row r="10" customFormat="1" s="9">
      <c r="G10" s="70">
        <f>(F10-E10)*1440</f>
        <v/>
      </c>
    </row>
    <row r="11" customFormat="1" s="9">
      <c r="G11" s="70">
        <f>(F11-E11)*1440</f>
        <v/>
      </c>
    </row>
    <row r="12" customFormat="1" s="9">
      <c r="G12" s="70">
        <f>(F12-E12)*1440</f>
        <v/>
      </c>
    </row>
    <row r="13" customFormat="1" s="9">
      <c r="G13" s="70">
        <f>(F13-E13)*1440</f>
        <v/>
      </c>
    </row>
    <row r="14" customFormat="1" s="9">
      <c r="G14" s="70">
        <f>(F14-E14)*1440</f>
        <v/>
      </c>
    </row>
    <row r="15" customFormat="1" s="9">
      <c r="G15" s="70">
        <f>(F15-E15)*1440</f>
        <v/>
      </c>
    </row>
    <row r="16" customFormat="1" s="9">
      <c r="G16" s="70">
        <f>(F16-E16)*1440</f>
        <v/>
      </c>
    </row>
    <row r="17" customFormat="1" s="9">
      <c r="G17" s="70">
        <f>(F17-E17)*1440</f>
        <v/>
      </c>
    </row>
    <row r="18" customFormat="1" s="9">
      <c r="G18" s="70">
        <f>(F18-E18)*1440</f>
        <v/>
      </c>
    </row>
    <row r="19" customFormat="1" s="9">
      <c r="G19" s="70">
        <f>(F19-E19)*1440</f>
        <v/>
      </c>
    </row>
    <row r="20" customFormat="1" s="9">
      <c r="G20" s="70">
        <f>(F20-E20)*1440</f>
        <v/>
      </c>
    </row>
    <row r="21" customFormat="1" s="9">
      <c r="G21" s="70">
        <f>(F21-E21)*1440</f>
        <v/>
      </c>
    </row>
    <row r="22" customFormat="1" s="9">
      <c r="G22" s="70">
        <f>(F22-E22)*1440</f>
        <v/>
      </c>
    </row>
    <row r="23" customFormat="1" s="9">
      <c r="G23" s="70">
        <f>(F23-E23)*1440</f>
        <v/>
      </c>
    </row>
    <row r="24" customFormat="1" s="9">
      <c r="G24" s="70">
        <f>(F24-E24)*1440</f>
        <v/>
      </c>
    </row>
    <row r="25" customFormat="1" s="9">
      <c r="G25" s="70">
        <f>(F25-E25)*1440</f>
        <v/>
      </c>
    </row>
    <row r="26" customFormat="1" s="9">
      <c r="G26" s="70">
        <f>(F26-E26)*1440</f>
        <v/>
      </c>
    </row>
    <row r="27" customFormat="1" s="9">
      <c r="G27" s="70">
        <f>(F27-E27)*1440</f>
        <v/>
      </c>
    </row>
    <row r="28" customFormat="1" s="9">
      <c r="G28" s="70">
        <f>(F28-E28)*1440</f>
        <v/>
      </c>
    </row>
    <row r="29" customFormat="1" s="9">
      <c r="G29" s="70">
        <f>(F29-E29)*1440</f>
        <v/>
      </c>
    </row>
    <row r="30" customFormat="1" s="9">
      <c r="G30" s="70">
        <f>(F30-E30)*1440</f>
        <v/>
      </c>
    </row>
    <row r="31" customFormat="1" s="9">
      <c r="G31" s="70">
        <f>(F31-E31)*1440</f>
        <v/>
      </c>
    </row>
    <row r="32" customFormat="1" s="9">
      <c r="G32" s="70">
        <f>(F32-E32)*1440</f>
        <v/>
      </c>
    </row>
    <row r="33" customFormat="1" s="9">
      <c r="G33" s="70">
        <f>(F33-E33)*1440</f>
        <v/>
      </c>
    </row>
    <row r="34" customFormat="1" s="9">
      <c r="G34" s="70">
        <f>(F34-E34)*1440</f>
        <v/>
      </c>
    </row>
    <row r="35" customFormat="1" s="9">
      <c r="G35" s="70">
        <f>(F35-E35)*1440</f>
        <v/>
      </c>
    </row>
    <row r="36" customFormat="1" s="9">
      <c r="G36" s="70">
        <f>(F36-E36)*1440</f>
        <v/>
      </c>
    </row>
    <row r="37" customFormat="1" s="9">
      <c r="G37" s="70">
        <f>(F37-E37)*1440</f>
        <v/>
      </c>
    </row>
    <row r="38" customFormat="1" s="9">
      <c r="G38" s="70">
        <f>(F38-E38)*1440</f>
        <v/>
      </c>
    </row>
    <row r="39" customFormat="1" s="9">
      <c r="G39" s="70">
        <f>(F39-E39)*1440</f>
        <v/>
      </c>
    </row>
    <row r="40" customFormat="1" s="9">
      <c r="G40" s="70">
        <f>(F40-E40)*1440</f>
        <v/>
      </c>
    </row>
    <row r="41" customFormat="1" s="9">
      <c r="G41" s="70">
        <f>(F41-E41)*1440</f>
        <v/>
      </c>
    </row>
    <row r="42" customFormat="1" s="9">
      <c r="G42" s="70">
        <f>(F42-E42)*1440</f>
        <v/>
      </c>
    </row>
    <row r="43" customFormat="1" s="9">
      <c r="G43" s="70">
        <f>(F43-E43)*1440</f>
        <v/>
      </c>
    </row>
    <row r="44" customFormat="1" s="9">
      <c r="G44" s="70">
        <f>(F44-E44)*1440</f>
        <v/>
      </c>
    </row>
    <row r="45" customFormat="1" s="9">
      <c r="G45" s="70">
        <f>(F45-E45)*1440</f>
        <v/>
      </c>
    </row>
    <row r="46" customFormat="1" s="9">
      <c r="G46" s="70">
        <f>(F46-E46)*1440</f>
        <v/>
      </c>
    </row>
    <row r="47" customFormat="1" s="9">
      <c r="G47" s="70">
        <f>(F47-E47)*1440</f>
        <v/>
      </c>
    </row>
    <row r="48" customFormat="1" s="9">
      <c r="G48" s="70">
        <f>(F48-E48)*1440</f>
        <v/>
      </c>
    </row>
    <row r="49" customFormat="1" s="9">
      <c r="G49" s="70">
        <f>(F49-E49)*1440</f>
        <v/>
      </c>
    </row>
    <row r="50" customFormat="1" s="9">
      <c r="G50" s="70">
        <f>(F50-E50)*1440</f>
        <v/>
      </c>
    </row>
    <row r="51" customFormat="1" s="9">
      <c r="G51" s="70">
        <f>(F51-E51)*1440</f>
        <v/>
      </c>
    </row>
    <row r="52" customFormat="1" s="9">
      <c r="G52" s="70">
        <f>(F52-E52)*1440</f>
        <v/>
      </c>
    </row>
    <row r="53" customFormat="1" s="9">
      <c r="G53" s="70">
        <f>(F53-E53)*1440</f>
        <v/>
      </c>
    </row>
    <row r="54" customFormat="1" s="9">
      <c r="G54" s="70">
        <f>(F54-E54)*1440</f>
        <v/>
      </c>
    </row>
    <row r="55" customFormat="1" s="9">
      <c r="G55" s="70">
        <f>(F55-E55)*1440</f>
        <v/>
      </c>
    </row>
    <row r="56" customFormat="1" s="9">
      <c r="G56" s="70">
        <f>(F56-E56)*1440</f>
        <v/>
      </c>
    </row>
    <row r="57" customFormat="1" s="9">
      <c r="G57" s="70">
        <f>(F57-E57)*1440</f>
        <v/>
      </c>
    </row>
    <row r="58" customFormat="1" s="9">
      <c r="G58" s="70">
        <f>(F58-E58)*1440</f>
        <v/>
      </c>
    </row>
    <row r="59" customFormat="1" s="9">
      <c r="G59" s="70">
        <f>(F59-E59)*1440</f>
        <v/>
      </c>
    </row>
    <row r="60" customFormat="1" s="9">
      <c r="G60" s="70">
        <f>(F60-E60)*1440</f>
        <v/>
      </c>
    </row>
    <row r="61" customFormat="1" s="9">
      <c r="G61" s="70">
        <f>(F61-E61)*1440</f>
        <v/>
      </c>
    </row>
    <row r="62" customFormat="1" s="9">
      <c r="G62" s="70">
        <f>(F62-E62)*1440</f>
        <v/>
      </c>
    </row>
    <row r="63" customFormat="1" s="9">
      <c r="G63" s="70">
        <f>(F63-E63)*1440</f>
        <v/>
      </c>
    </row>
    <row r="64" customFormat="1" s="9">
      <c r="G64" s="70">
        <f>(F64-E64)*1440</f>
        <v/>
      </c>
    </row>
    <row r="65" customFormat="1" s="9">
      <c r="G65" s="70">
        <f>(F65-E65)*1440</f>
        <v/>
      </c>
    </row>
    <row r="66" customFormat="1" s="9">
      <c r="G66" s="70">
        <f>(F66-E66)*1440</f>
        <v/>
      </c>
    </row>
    <row r="67" customFormat="1" s="9">
      <c r="G67" s="70">
        <f>(F67-E67)*1440</f>
        <v/>
      </c>
    </row>
    <row r="68" customFormat="1" s="9">
      <c r="G68" s="70">
        <f>(F68-E68)*1440</f>
        <v/>
      </c>
    </row>
    <row r="69" customFormat="1" s="9">
      <c r="G69" s="70">
        <f>(F69-E69)*1440</f>
        <v/>
      </c>
    </row>
    <row r="70" customFormat="1" s="9">
      <c r="G70" s="70">
        <f>(F70-E70)*1440</f>
        <v/>
      </c>
    </row>
    <row r="71" customFormat="1" s="9">
      <c r="G71" s="70">
        <f>(F71-E71)*1440</f>
        <v/>
      </c>
    </row>
    <row r="72" customFormat="1" s="9">
      <c r="G72" s="70">
        <f>(F72-E72)*1440</f>
        <v/>
      </c>
    </row>
    <row r="73" customFormat="1" s="9">
      <c r="G73" s="70">
        <f>(F73-E73)*1440</f>
        <v/>
      </c>
    </row>
    <row r="74" customFormat="1" s="9">
      <c r="G74" s="70">
        <f>(F74-E74)*1440</f>
        <v/>
      </c>
    </row>
    <row r="75" customFormat="1" s="9">
      <c r="G75" s="70">
        <f>(F75-E75)*1440</f>
        <v/>
      </c>
    </row>
    <row r="76" customFormat="1" s="9">
      <c r="G76" s="70">
        <f>(F76-E76)*1440</f>
        <v/>
      </c>
    </row>
    <row r="77" customFormat="1" s="9">
      <c r="G77" s="70">
        <f>(F77-E77)*1440</f>
        <v/>
      </c>
    </row>
    <row r="78" customFormat="1" s="9">
      <c r="G78" s="70">
        <f>(F78-E78)*1440</f>
        <v/>
      </c>
    </row>
    <row r="79" customFormat="1" s="9">
      <c r="G79" s="70">
        <f>(F79-E79)*1440</f>
        <v/>
      </c>
    </row>
    <row r="80" customFormat="1" s="9">
      <c r="G80" s="70">
        <f>(F80-E80)*1440</f>
        <v/>
      </c>
    </row>
    <row r="81" customFormat="1" s="9">
      <c r="G81" s="70">
        <f>(F81-E81)*1440</f>
        <v/>
      </c>
    </row>
    <row r="82" customFormat="1" s="9">
      <c r="G82" s="70">
        <f>(F82-E82)*1440</f>
        <v/>
      </c>
    </row>
    <row r="83" customFormat="1" s="9">
      <c r="G83" s="70">
        <f>(F83-E83)*1440</f>
        <v/>
      </c>
    </row>
    <row r="84" customFormat="1" s="9">
      <c r="G84" s="70">
        <f>(F84-E84)*1440</f>
        <v/>
      </c>
    </row>
    <row r="85" customFormat="1" s="9">
      <c r="G85" s="70">
        <f>(F85-E85)*1440</f>
        <v/>
      </c>
    </row>
    <row r="86" customFormat="1" s="9">
      <c r="G86" s="70">
        <f>(F86-E86)*1440</f>
        <v/>
      </c>
    </row>
    <row r="87" customFormat="1" s="9">
      <c r="G87" s="70">
        <f>(F87-E87)*1440</f>
        <v/>
      </c>
    </row>
    <row r="88" customFormat="1" s="9">
      <c r="G88" s="70">
        <f>(F88-E88)*1440</f>
        <v/>
      </c>
    </row>
    <row r="89" customFormat="1" s="9">
      <c r="G89" s="70">
        <f>(F89-E89)*1440</f>
        <v/>
      </c>
    </row>
    <row r="90" customFormat="1" s="9">
      <c r="G90" s="70">
        <f>(F90-E90)*1440</f>
        <v/>
      </c>
    </row>
    <row r="91" customFormat="1" s="9">
      <c r="G91" s="70">
        <f>(F91-E91)*1440</f>
        <v/>
      </c>
    </row>
    <row r="92" customFormat="1" s="9">
      <c r="G92" s="70">
        <f>(F92-E92)*1440</f>
        <v/>
      </c>
    </row>
    <row r="93" customFormat="1" s="9">
      <c r="G93" s="70">
        <f>(F93-E93)*1440</f>
        <v/>
      </c>
    </row>
    <row r="94" customFormat="1" s="9">
      <c r="G94" s="70">
        <f>(F94-E94)*1440</f>
        <v/>
      </c>
    </row>
    <row r="95" customFormat="1" s="9">
      <c r="G95" s="70">
        <f>(F95-E95)*1440</f>
        <v/>
      </c>
    </row>
    <row r="96" customFormat="1" s="9">
      <c r="G96" s="70">
        <f>(F96-E96)*1440</f>
        <v/>
      </c>
    </row>
    <row r="97" customFormat="1" s="9">
      <c r="G97" s="70">
        <f>(F97-E97)*1440</f>
        <v/>
      </c>
    </row>
    <row r="98" customFormat="1" s="9">
      <c r="G98" s="70">
        <f>(F98-E98)*1440</f>
        <v/>
      </c>
    </row>
    <row r="99" customFormat="1" s="9">
      <c r="G99" s="70">
        <f>(F99-E99)*1440</f>
        <v/>
      </c>
    </row>
    <row r="100" customFormat="1" s="9">
      <c r="G100" s="70">
        <f>(F100-E100)*1440</f>
        <v/>
      </c>
    </row>
    <row r="101" customFormat="1" s="9">
      <c r="G101" s="70">
        <f>(F101-E101)*1440</f>
        <v/>
      </c>
    </row>
    <row r="102" customFormat="1" s="9">
      <c r="G102" s="70">
        <f>(F102-E102)*1440</f>
        <v/>
      </c>
    </row>
    <row r="103" customFormat="1" s="9">
      <c r="G103" s="70">
        <f>(F103-E103)*1440</f>
        <v/>
      </c>
    </row>
    <row r="104" customFormat="1" s="9">
      <c r="G104" s="70">
        <f>(F104-E104)*1440</f>
        <v/>
      </c>
    </row>
    <row r="105" customFormat="1" s="9">
      <c r="G105" s="70">
        <f>(F105-E105)*1440</f>
        <v/>
      </c>
    </row>
    <row r="106" customFormat="1" s="9">
      <c r="G106" s="70">
        <f>(F106-E106)*1440</f>
        <v/>
      </c>
    </row>
    <row r="107" customFormat="1" s="9">
      <c r="G107" s="70">
        <f>(F107-E107)*1440</f>
        <v/>
      </c>
    </row>
    <row r="108" customFormat="1" s="9">
      <c r="G108" s="70">
        <f>(F108-E108)*1440</f>
        <v/>
      </c>
    </row>
    <row r="109" customFormat="1" s="9">
      <c r="G109" s="70">
        <f>(F109-E109)*1440</f>
        <v/>
      </c>
    </row>
    <row r="110" customFormat="1" s="9">
      <c r="G110" s="70">
        <f>(F110-E110)*1440</f>
        <v/>
      </c>
    </row>
    <row r="111" customFormat="1" s="9">
      <c r="G111" s="70">
        <f>(F111-E111)*1440</f>
        <v/>
      </c>
    </row>
    <row r="112" customFormat="1" s="9">
      <c r="G112" s="70">
        <f>(F112-E112)*1440</f>
        <v/>
      </c>
    </row>
    <row r="113" customFormat="1" s="9">
      <c r="G113" s="70">
        <f>(F113-E113)*1440</f>
        <v/>
      </c>
    </row>
    <row r="114" customFormat="1" s="9">
      <c r="G114" s="70">
        <f>(F114-E114)*1440</f>
        <v/>
      </c>
    </row>
    <row r="115" customFormat="1" s="9">
      <c r="G115" s="70">
        <f>(F115-E115)*1440</f>
        <v/>
      </c>
    </row>
    <row r="116" customFormat="1" s="9">
      <c r="G116" s="70">
        <f>(F116-E116)*1440</f>
        <v/>
      </c>
    </row>
    <row r="117" customFormat="1" s="9">
      <c r="G117" s="70">
        <f>(F117-E117)*1440</f>
        <v/>
      </c>
    </row>
    <row r="118" customFormat="1" s="9">
      <c r="G118" s="70">
        <f>(F118-E118)*1440</f>
        <v/>
      </c>
    </row>
    <row r="119" customFormat="1" s="9">
      <c r="G119" s="70">
        <f>(F119-E119)*1440</f>
        <v/>
      </c>
    </row>
    <row r="120" customFormat="1" s="9">
      <c r="G120" s="70">
        <f>(F120-E120)*1440</f>
        <v/>
      </c>
    </row>
    <row r="121" customFormat="1" s="9">
      <c r="G121" s="70">
        <f>(F121-E121)*1440</f>
        <v/>
      </c>
    </row>
    <row r="122" customFormat="1" s="9">
      <c r="G122" s="70">
        <f>(F122-E122)*1440</f>
        <v/>
      </c>
    </row>
    <row r="123" customFormat="1" s="9">
      <c r="G123" s="70">
        <f>(F123-E123)*1440</f>
        <v/>
      </c>
    </row>
    <row r="124" customFormat="1" s="9">
      <c r="G124" s="70">
        <f>(F124-E124)*1440</f>
        <v/>
      </c>
    </row>
    <row r="125" customFormat="1" s="9">
      <c r="G125" s="70">
        <f>(F125-E125)*1440</f>
        <v/>
      </c>
    </row>
    <row r="126" customFormat="1" s="9">
      <c r="G126" s="70">
        <f>(F126-E126)*1440</f>
        <v/>
      </c>
    </row>
    <row r="127" customFormat="1" s="9">
      <c r="G127" s="70">
        <f>(F127-E127)*1440</f>
        <v/>
      </c>
    </row>
    <row r="128" customFormat="1" s="9">
      <c r="G128" s="70">
        <f>(F128-E128)*1440</f>
        <v/>
      </c>
    </row>
    <row r="129" customFormat="1" s="9">
      <c r="G129" s="70">
        <f>(F129-E129)*1440</f>
        <v/>
      </c>
    </row>
    <row r="130" customFormat="1" s="9">
      <c r="G130" s="70">
        <f>(F130-E130)*1440</f>
        <v/>
      </c>
    </row>
    <row r="131" customFormat="1" s="9">
      <c r="G131" s="70">
        <f>(F131-E131)*1440</f>
        <v/>
      </c>
    </row>
    <row r="132" customFormat="1" s="9">
      <c r="G132" s="70">
        <f>(F132-E132)*1440</f>
        <v/>
      </c>
    </row>
    <row r="133" customFormat="1" s="9">
      <c r="G133" s="70">
        <f>(F133-E133)*1440</f>
        <v/>
      </c>
    </row>
    <row r="134" customFormat="1" s="9">
      <c r="G134" s="70">
        <f>(F134-E134)*1440</f>
        <v/>
      </c>
    </row>
    <row r="135" customFormat="1" s="9">
      <c r="G135" s="70">
        <f>(F135-E135)*1440</f>
        <v/>
      </c>
    </row>
    <row r="136" customFormat="1" s="9">
      <c r="G136" s="70">
        <f>(F136-E136)*1440</f>
        <v/>
      </c>
    </row>
    <row r="137" customFormat="1" s="9">
      <c r="G137" s="70">
        <f>(F137-E137)*1440</f>
        <v/>
      </c>
    </row>
    <row r="138" customFormat="1" s="9">
      <c r="G138" s="70">
        <f>(F138-E138)*1440</f>
        <v/>
      </c>
    </row>
    <row r="139" customFormat="1" s="9">
      <c r="G139" s="70">
        <f>(F139-E139)*1440</f>
        <v/>
      </c>
    </row>
    <row r="140" customFormat="1" s="9">
      <c r="G140" s="70">
        <f>(F140-E140)*1440</f>
        <v/>
      </c>
    </row>
    <row r="141" customFormat="1" s="9">
      <c r="G141" s="70">
        <f>(F141-E141)*1440</f>
        <v/>
      </c>
    </row>
    <row r="142" customFormat="1" s="9">
      <c r="G142" s="70">
        <f>(F142-E142)*1440</f>
        <v/>
      </c>
    </row>
    <row r="143" customFormat="1" s="9">
      <c r="G143" s="70">
        <f>(F143-E143)*1440</f>
        <v/>
      </c>
    </row>
    <row r="144" customFormat="1" s="9">
      <c r="G144" s="70">
        <f>(F144-E144)*1440</f>
        <v/>
      </c>
    </row>
    <row r="145" customFormat="1" s="9">
      <c r="G145" s="70">
        <f>(F145-E145)*1440</f>
        <v/>
      </c>
    </row>
    <row r="146" customFormat="1" s="9">
      <c r="G146" s="70">
        <f>(F146-E146)*1440</f>
        <v/>
      </c>
    </row>
    <row r="147" customFormat="1" s="9">
      <c r="G147" s="70">
        <f>(F147-E147)*1440</f>
        <v/>
      </c>
    </row>
    <row r="148" customFormat="1" s="9">
      <c r="G148" s="70">
        <f>(F148-E148)*1440</f>
        <v/>
      </c>
    </row>
    <row r="149" customFormat="1" s="9">
      <c r="G149" s="70">
        <f>(F149-E149)*1440</f>
        <v/>
      </c>
    </row>
    <row r="150" customFormat="1" s="9">
      <c r="G150" s="70">
        <f>(F150-E150)*1440</f>
        <v/>
      </c>
    </row>
    <row r="151" customFormat="1" s="9">
      <c r="G151" s="70">
        <f>(F151-E151)*1440</f>
        <v/>
      </c>
    </row>
    <row r="152" customFormat="1" s="9">
      <c r="G152" s="70">
        <f>(F152-E152)*1440</f>
        <v/>
      </c>
    </row>
    <row r="153" customFormat="1" s="9">
      <c r="G153" s="70">
        <f>(F153-E153)*1440</f>
        <v/>
      </c>
    </row>
    <row r="154" customFormat="1" s="9">
      <c r="G154" s="70">
        <f>(F154-E154)*1440</f>
        <v/>
      </c>
    </row>
    <row r="155" customFormat="1" s="9">
      <c r="G155" s="70">
        <f>(F155-E155)*1440</f>
        <v/>
      </c>
    </row>
    <row r="156" customFormat="1" s="9">
      <c r="G156" s="70">
        <f>(F156-E156)*1440</f>
        <v/>
      </c>
    </row>
    <row r="157" customFormat="1" s="9">
      <c r="G157" s="70">
        <f>(F157-E157)*1440</f>
        <v/>
      </c>
    </row>
    <row r="158" customFormat="1" s="9">
      <c r="G158" s="70">
        <f>(F158-E158)*1440</f>
        <v/>
      </c>
    </row>
    <row r="159" customFormat="1" s="9">
      <c r="G159" s="70">
        <f>(F159-E159)*1440</f>
        <v/>
      </c>
    </row>
    <row r="160" customFormat="1" s="9">
      <c r="G160" s="70">
        <f>(F160-E160)*1440</f>
        <v/>
      </c>
    </row>
    <row r="161" customFormat="1" s="9">
      <c r="G161" s="70">
        <f>(F161-E161)*1440</f>
        <v/>
      </c>
    </row>
    <row r="162" customFormat="1" s="9">
      <c r="G162" s="70">
        <f>(F162-E162)*1440</f>
        <v/>
      </c>
    </row>
    <row r="163" customFormat="1" s="9">
      <c r="G163" s="70">
        <f>(F163-E163)*1440</f>
        <v/>
      </c>
    </row>
    <row r="164" customFormat="1" s="9">
      <c r="G164" s="70">
        <f>(F164-E164)*1440</f>
        <v/>
      </c>
    </row>
    <row r="165" customFormat="1" s="9">
      <c r="G165" s="70">
        <f>(F165-E165)*1440</f>
        <v/>
      </c>
    </row>
    <row r="166" customFormat="1" s="9">
      <c r="G166" s="70">
        <f>(F166-E166)*1440</f>
        <v/>
      </c>
    </row>
    <row r="167" customFormat="1" s="9">
      <c r="G167" s="70">
        <f>(F167-E167)*1440</f>
        <v/>
      </c>
    </row>
    <row r="168" customFormat="1" s="9">
      <c r="G168" s="70">
        <f>(F168-E168)*1440</f>
        <v/>
      </c>
    </row>
    <row r="169" customFormat="1" s="9">
      <c r="G169" s="70">
        <f>(F169-E169)*1440</f>
        <v/>
      </c>
    </row>
    <row r="170" customFormat="1" s="9">
      <c r="G170" s="70">
        <f>(F170-E170)*1440</f>
        <v/>
      </c>
    </row>
    <row r="171" customFormat="1" s="9">
      <c r="G171" s="70">
        <f>(F171-E171)*1440</f>
        <v/>
      </c>
    </row>
    <row r="172" customFormat="1" s="9">
      <c r="G172" s="70">
        <f>(F172-E172)*1440</f>
        <v/>
      </c>
    </row>
    <row r="173" customFormat="1" s="9">
      <c r="G173" s="70">
        <f>(F173-E173)*1440</f>
        <v/>
      </c>
    </row>
    <row r="174" customFormat="1" s="9">
      <c r="G174" s="70">
        <f>(F174-E174)*1440</f>
        <v/>
      </c>
    </row>
    <row r="175" customFormat="1" s="9">
      <c r="G175" s="70">
        <f>(F175-E175)*1440</f>
        <v/>
      </c>
    </row>
    <row r="176" customFormat="1" s="9">
      <c r="G176" s="70">
        <f>(F176-E176)*1440</f>
        <v/>
      </c>
    </row>
    <row r="177" customFormat="1" s="9">
      <c r="G177" s="70">
        <f>(F177-E177)*1440</f>
        <v/>
      </c>
    </row>
    <row r="178" customFormat="1" s="9">
      <c r="G178" s="70">
        <f>(F178-E178)*1440</f>
        <v/>
      </c>
    </row>
    <row r="179" customFormat="1" s="9">
      <c r="G179" s="70">
        <f>(F179-E179)*1440</f>
        <v/>
      </c>
    </row>
    <row r="180" customFormat="1" s="9">
      <c r="G180" s="70">
        <f>(F180-E180)*1440</f>
        <v/>
      </c>
    </row>
    <row r="181" customFormat="1" s="9">
      <c r="G181" s="70">
        <f>(F181-E181)*1440</f>
        <v/>
      </c>
    </row>
    <row r="182" customFormat="1" s="9">
      <c r="G182" s="70">
        <f>(F182-E182)*1440</f>
        <v/>
      </c>
    </row>
    <row r="183" customFormat="1" s="9">
      <c r="G183" s="70">
        <f>(F183-E183)*1440</f>
        <v/>
      </c>
    </row>
    <row r="184" customFormat="1" s="9">
      <c r="G184" s="70">
        <f>(F184-E184)*1440</f>
        <v/>
      </c>
    </row>
    <row r="185" customFormat="1" s="9">
      <c r="G185" s="70">
        <f>(F185-E185)*1440</f>
        <v/>
      </c>
    </row>
    <row r="186" customFormat="1" s="9">
      <c r="G186" s="70">
        <f>(F186-E186)*1440</f>
        <v/>
      </c>
    </row>
    <row r="187" customFormat="1" s="9">
      <c r="G187" s="70">
        <f>(F187-E187)*1440</f>
        <v/>
      </c>
    </row>
    <row r="188" customFormat="1" s="9">
      <c r="G188" s="70">
        <f>(F188-E188)*1440</f>
        <v/>
      </c>
    </row>
    <row r="189" customFormat="1" s="9">
      <c r="G189" s="70">
        <f>(F189-E189)*1440</f>
        <v/>
      </c>
    </row>
    <row r="190" customFormat="1" s="9">
      <c r="G190" s="70">
        <f>(F190-E190)*1440</f>
        <v/>
      </c>
    </row>
    <row r="191" customFormat="1" s="9">
      <c r="G191" s="70">
        <f>(F191-E191)*1440</f>
        <v/>
      </c>
    </row>
    <row r="192" customFormat="1" s="9">
      <c r="G192" s="70">
        <f>(F192-E192)*1440</f>
        <v/>
      </c>
    </row>
    <row r="193" customFormat="1" s="9">
      <c r="G193" s="70">
        <f>(F193-E193)*1440</f>
        <v/>
      </c>
    </row>
    <row r="194" customFormat="1" s="9">
      <c r="G194" s="70">
        <f>(F194-E194)*1440</f>
        <v/>
      </c>
    </row>
    <row r="195" customFormat="1" s="9">
      <c r="G195" s="70">
        <f>(F195-E195)*1440</f>
        <v/>
      </c>
    </row>
    <row r="196" customFormat="1" s="9">
      <c r="G196" s="70">
        <f>(F196-E196)*1440</f>
        <v/>
      </c>
    </row>
    <row r="197" customFormat="1" s="9">
      <c r="G197" s="70">
        <f>(F197-E197)*1440</f>
        <v/>
      </c>
    </row>
    <row r="198" customFormat="1" s="9">
      <c r="G198" s="70">
        <f>(F198-E198)*1440</f>
        <v/>
      </c>
    </row>
    <row r="199" customFormat="1" s="9">
      <c r="G199" s="70">
        <f>(F199-E199)*1440</f>
        <v/>
      </c>
    </row>
    <row r="200" customFormat="1" s="9">
      <c r="G200" s="70">
        <f>(F200-E200)*1440</f>
        <v/>
      </c>
    </row>
    <row r="201" customFormat="1" s="9">
      <c r="G201" s="70">
        <f>(F201-E201)*1440</f>
        <v/>
      </c>
    </row>
    <row r="202" customFormat="1" s="9">
      <c r="G202" s="70">
        <f>(F202-E202)*1440</f>
        <v/>
      </c>
    </row>
    <row r="203" customFormat="1" s="9">
      <c r="G203" s="70">
        <f>(F203-E203)*1440</f>
        <v/>
      </c>
    </row>
    <row r="204" customFormat="1" s="9">
      <c r="G204" s="70">
        <f>(F204-E204)*1440</f>
        <v/>
      </c>
    </row>
    <row r="205" customFormat="1" s="9">
      <c r="G205" s="70">
        <f>(F205-E205)*1440</f>
        <v/>
      </c>
    </row>
    <row r="206" customFormat="1" s="9">
      <c r="G206" s="70">
        <f>(F206-E206)*1440</f>
        <v/>
      </c>
    </row>
    <row r="207" customFormat="1" s="9">
      <c r="G207" s="70">
        <f>(F207-E207)*1440</f>
        <v/>
      </c>
    </row>
    <row r="208" customFormat="1" s="9">
      <c r="G208" s="70">
        <f>(F208-E208)*1440</f>
        <v/>
      </c>
    </row>
    <row r="209" customFormat="1" s="9">
      <c r="G209" s="70">
        <f>(F209-E209)*1440</f>
        <v/>
      </c>
    </row>
    <row r="210" customFormat="1" s="9">
      <c r="G210" s="70">
        <f>(F210-E210)*1440</f>
        <v/>
      </c>
    </row>
    <row r="211" customFormat="1" s="9">
      <c r="G211" s="70">
        <f>(F211-E211)*1440</f>
        <v/>
      </c>
    </row>
    <row r="212" customFormat="1" s="9">
      <c r="G212" s="70">
        <f>(F212-E212)*1440</f>
        <v/>
      </c>
    </row>
    <row r="213" customFormat="1" s="9">
      <c r="G213" s="70">
        <f>(F213-E213)*1440</f>
        <v/>
      </c>
    </row>
    <row r="214" customFormat="1" s="9">
      <c r="G214" s="70">
        <f>(F214-E214)*1440</f>
        <v/>
      </c>
    </row>
    <row r="215" customFormat="1" s="9">
      <c r="G215" s="70">
        <f>(F215-E215)*1440</f>
        <v/>
      </c>
    </row>
    <row r="216" s="11">
      <c r="G216" s="70">
        <f>(F216-E216)*1440</f>
        <v/>
      </c>
    </row>
    <row r="217" s="11">
      <c r="G217" s="70">
        <f>(F217-E217)*1440</f>
        <v/>
      </c>
    </row>
    <row r="218" s="11">
      <c r="G218" s="70">
        <f>(F218-E218)*1440</f>
        <v/>
      </c>
    </row>
    <row r="219" s="11">
      <c r="G219" s="70">
        <f>(F219-E219)*1440</f>
        <v/>
      </c>
    </row>
    <row r="220" s="11">
      <c r="G220" s="70">
        <f>(F220-E220)*1440</f>
        <v/>
      </c>
    </row>
    <row r="221" s="11">
      <c r="G221" s="70">
        <f>(F221-E221)*1440</f>
        <v/>
      </c>
    </row>
    <row r="222" s="11">
      <c r="G222" s="70">
        <f>(F222-E222)*1440</f>
        <v/>
      </c>
    </row>
    <row r="223" s="11">
      <c r="G223" s="70">
        <f>(F223-E223)*1440</f>
        <v/>
      </c>
    </row>
    <row r="224" s="11">
      <c r="G224" s="70">
        <f>(F224-E224)*1440</f>
        <v/>
      </c>
    </row>
    <row r="225" s="11">
      <c r="G225" s="70">
        <f>(F225-E225)*1440</f>
        <v/>
      </c>
    </row>
    <row r="226" s="11">
      <c r="G226" s="70">
        <f>(F226-E226)*1440</f>
        <v/>
      </c>
    </row>
    <row r="227" s="11">
      <c r="G227" s="70">
        <f>(F227-E227)*1440</f>
        <v/>
      </c>
    </row>
    <row r="228" s="11">
      <c r="G228" s="70">
        <f>(F228-E228)*1440</f>
        <v/>
      </c>
    </row>
    <row r="229" s="11">
      <c r="G229" s="70">
        <f>(F229-E229)*1440</f>
        <v/>
      </c>
    </row>
    <row r="230" s="11">
      <c r="G230" s="70">
        <f>(F230-E230)*1440</f>
        <v/>
      </c>
    </row>
    <row r="231" s="11">
      <c r="G231" s="70">
        <f>(F231-E231)*1440</f>
        <v/>
      </c>
    </row>
    <row r="232" s="11">
      <c r="G232" s="70">
        <f>(F232-E232)*1440</f>
        <v/>
      </c>
    </row>
    <row r="233" s="11">
      <c r="G233" s="70">
        <f>(F233-E233)*1440</f>
        <v/>
      </c>
    </row>
    <row r="234" s="11">
      <c r="G234" s="70">
        <f>(F234-E234)*1440</f>
        <v/>
      </c>
    </row>
    <row r="235" s="11">
      <c r="G235" s="70">
        <f>(F235-E235)*1440</f>
        <v/>
      </c>
    </row>
    <row r="236" s="11">
      <c r="G236" s="70">
        <f>(F236-E236)*1440</f>
        <v/>
      </c>
    </row>
    <row r="237" s="11">
      <c r="G237" s="70">
        <f>(F237-E237)*1440</f>
        <v/>
      </c>
    </row>
    <row r="238" s="11">
      <c r="G238" s="70">
        <f>(F238-E238)*1440</f>
        <v/>
      </c>
    </row>
    <row r="239" s="11">
      <c r="G239" s="70">
        <f>(F239-E239)*1440</f>
        <v/>
      </c>
    </row>
    <row r="240" s="11">
      <c r="G240" s="70">
        <f>(F240-E240)*1440</f>
        <v/>
      </c>
    </row>
    <row r="241" s="11">
      <c r="G241" s="70">
        <f>(F241-E241)*1440</f>
        <v/>
      </c>
    </row>
    <row r="242" s="11">
      <c r="G242" s="70">
        <f>(F242-E242)*1440</f>
        <v/>
      </c>
    </row>
    <row r="243" s="11">
      <c r="G243" s="70">
        <f>(F243-E243)*1440</f>
        <v/>
      </c>
    </row>
    <row r="244" s="11">
      <c r="G244" s="70">
        <f>(F244-E244)*1440</f>
        <v/>
      </c>
    </row>
    <row r="245" s="11">
      <c r="G245" s="70">
        <f>(F245-E245)*1440</f>
        <v/>
      </c>
    </row>
    <row r="246" s="11">
      <c r="G246" s="70">
        <f>(F246-E246)*1440</f>
        <v/>
      </c>
    </row>
    <row r="247" s="11">
      <c r="G247" s="70">
        <f>(F247-E247)*1440</f>
        <v/>
      </c>
    </row>
    <row r="248" s="11">
      <c r="G248" s="70">
        <f>(F248-E248)*1440</f>
        <v/>
      </c>
    </row>
    <row r="249" s="11">
      <c r="G249" s="70">
        <f>(F249-E249)*1440</f>
        <v/>
      </c>
    </row>
    <row r="250" s="11">
      <c r="G250" s="70">
        <f>(F250-E250)*1440</f>
        <v/>
      </c>
    </row>
    <row r="251" s="11">
      <c r="G251" s="70">
        <f>(F251-E251)*1440</f>
        <v/>
      </c>
    </row>
    <row r="252" s="11">
      <c r="G252" s="70">
        <f>(F252-E252)*1440</f>
        <v/>
      </c>
    </row>
    <row r="253" s="11">
      <c r="G253" s="70">
        <f>(F253-E253)*1440</f>
        <v/>
      </c>
    </row>
    <row r="254" s="11">
      <c r="G254" s="70">
        <f>(F254-E254)*1440</f>
        <v/>
      </c>
    </row>
    <row r="255" s="11">
      <c r="G255" s="70">
        <f>(F255-E255)*1440</f>
        <v/>
      </c>
    </row>
    <row r="256" s="11">
      <c r="G256" s="70">
        <f>(F256-E256)*1440</f>
        <v/>
      </c>
    </row>
    <row r="257" s="11">
      <c r="G257" s="70">
        <f>(F257-E257)*1440</f>
        <v/>
      </c>
    </row>
    <row r="258" s="11">
      <c r="G258" s="70">
        <f>(F258-E258)*1440</f>
        <v/>
      </c>
    </row>
    <row r="259" s="11">
      <c r="G259" s="70">
        <f>(F259-E259)*1440</f>
        <v/>
      </c>
    </row>
    <row r="260" s="11">
      <c r="G260" s="70">
        <f>(F260-E260)*1440</f>
        <v/>
      </c>
    </row>
    <row r="261" s="11">
      <c r="G261" s="70">
        <f>(F261-E261)*1440</f>
        <v/>
      </c>
    </row>
    <row r="262" s="11">
      <c r="G262" s="70">
        <f>(F262-E262)*1440</f>
        <v/>
      </c>
    </row>
    <row r="263" s="11">
      <c r="G263" s="70">
        <f>(F263-E263)*1440</f>
        <v/>
      </c>
    </row>
    <row r="264" s="11">
      <c r="G264" s="70">
        <f>(F264-E264)*1440</f>
        <v/>
      </c>
    </row>
    <row r="265" s="11">
      <c r="G265" s="70">
        <f>(F265-E265)*1440</f>
        <v/>
      </c>
    </row>
    <row r="266" s="11">
      <c r="G266" s="70">
        <f>(F266-E266)*1440</f>
        <v/>
      </c>
    </row>
    <row r="267" s="11">
      <c r="G267" s="70">
        <f>(F267-E267)*1440</f>
        <v/>
      </c>
    </row>
    <row r="268" s="11">
      <c r="G268" s="70">
        <f>(F268-E268)*1440</f>
        <v/>
      </c>
    </row>
    <row r="269" s="11">
      <c r="G269" s="70">
        <f>(F269-E269)*1440</f>
        <v/>
      </c>
    </row>
    <row r="270" s="11">
      <c r="G270" s="70">
        <f>(F270-E270)*1440</f>
        <v/>
      </c>
    </row>
    <row r="271" s="11">
      <c r="G271" s="70">
        <f>(F271-E271)*1440</f>
        <v/>
      </c>
    </row>
    <row r="272" s="11">
      <c r="G272" s="70">
        <f>(F272-E272)*1440</f>
        <v/>
      </c>
    </row>
    <row r="273" s="11">
      <c r="G273" s="70">
        <f>(F273-E273)*1440</f>
        <v/>
      </c>
    </row>
    <row r="274" s="11">
      <c r="G274" s="70">
        <f>(F274-E274)*1440</f>
        <v/>
      </c>
    </row>
    <row r="275" s="11">
      <c r="G275" s="70">
        <f>(F275-E275)*1440</f>
        <v/>
      </c>
    </row>
    <row r="276" s="11">
      <c r="G276" s="70">
        <f>(F276-E276)*1440</f>
        <v/>
      </c>
    </row>
    <row r="277" s="11">
      <c r="G277" s="70">
        <f>(F277-E277)*1440</f>
        <v/>
      </c>
    </row>
    <row r="278" s="11">
      <c r="G278" s="70">
        <f>(F278-E278)*1440</f>
        <v/>
      </c>
    </row>
    <row r="279" s="11">
      <c r="G279" s="70">
        <f>(F279-E279)*1440</f>
        <v/>
      </c>
    </row>
    <row r="280" s="11">
      <c r="G280" s="70">
        <f>(F280-E280)*1440</f>
        <v/>
      </c>
    </row>
    <row r="281" s="11">
      <c r="G281" s="70">
        <f>(F281-E281)*1440</f>
        <v/>
      </c>
    </row>
    <row r="282" s="11">
      <c r="G282" s="70">
        <f>(F282-E282)*1440</f>
        <v/>
      </c>
    </row>
    <row r="283" s="11">
      <c r="G283" s="70">
        <f>(F283-E283)*1440</f>
        <v/>
      </c>
    </row>
    <row r="284" s="11">
      <c r="G284" s="70">
        <f>(F284-E284)*1440</f>
        <v/>
      </c>
    </row>
    <row r="285" s="11">
      <c r="G285" s="70">
        <f>(F285-E285)*1440</f>
        <v/>
      </c>
    </row>
    <row r="286" s="11">
      <c r="G286" s="70">
        <f>(F286-E286)*1440</f>
        <v/>
      </c>
    </row>
    <row r="287" s="11">
      <c r="G287" s="70">
        <f>(F287-E287)*1440</f>
        <v/>
      </c>
    </row>
    <row r="288" s="11">
      <c r="G288" s="70">
        <f>(F288-E288)*1440</f>
        <v/>
      </c>
    </row>
    <row r="289" s="11">
      <c r="G289" s="70">
        <f>(F289-E289)*1440</f>
        <v/>
      </c>
    </row>
    <row r="290" s="11">
      <c r="G290" s="70">
        <f>(F290-E290)*1440</f>
        <v/>
      </c>
    </row>
    <row r="291" s="11">
      <c r="G291" s="70">
        <f>(F291-E291)*1440</f>
        <v/>
      </c>
    </row>
    <row r="292" s="11">
      <c r="G292" s="70">
        <f>(F292-E292)*1440</f>
        <v/>
      </c>
    </row>
    <row r="293" s="11">
      <c r="G293" s="70">
        <f>(F293-E293)*1440</f>
        <v/>
      </c>
    </row>
    <row r="294" s="11">
      <c r="G294" s="70">
        <f>(F294-E294)*1440</f>
        <v/>
      </c>
    </row>
    <row r="295" s="11">
      <c r="G295" s="70">
        <f>(F295-E295)*1440</f>
        <v/>
      </c>
    </row>
    <row r="296" s="11">
      <c r="G296" s="70">
        <f>(F296-E296)*1440</f>
        <v/>
      </c>
    </row>
    <row r="297" s="11">
      <c r="G297" s="70">
        <f>(F297-E297)*1440</f>
        <v/>
      </c>
    </row>
    <row r="298" s="11">
      <c r="G298" s="70">
        <f>(F298-E298)*1440</f>
        <v/>
      </c>
    </row>
    <row r="299" s="11">
      <c r="G299" s="70">
        <f>(F299-E299)*1440</f>
        <v/>
      </c>
    </row>
    <row r="300" s="11">
      <c r="G300" s="70">
        <f>(F300-E300)*1440</f>
        <v/>
      </c>
    </row>
    <row r="301" s="11">
      <c r="G301" s="70">
        <f>(F301-E301)*1440</f>
        <v/>
      </c>
    </row>
    <row r="302" s="11">
      <c r="G302" s="70">
        <f>(F302-E302)*1440</f>
        <v/>
      </c>
    </row>
    <row r="303" s="11">
      <c r="G303" s="70">
        <f>(F303-E303)*1440</f>
        <v/>
      </c>
    </row>
    <row r="304" s="11">
      <c r="G304" s="70">
        <f>(F304-E304)*1440</f>
        <v/>
      </c>
    </row>
    <row r="305" s="11">
      <c r="G305" s="70">
        <f>(F305-E305)*1440</f>
        <v/>
      </c>
    </row>
    <row r="306" s="11">
      <c r="G306" s="70">
        <f>(F306-E306)*1440</f>
        <v/>
      </c>
    </row>
    <row r="307" s="11">
      <c r="G307" s="70">
        <f>(F307-E307)*1440</f>
        <v/>
      </c>
    </row>
    <row r="308" s="11">
      <c r="G308" s="70">
        <f>(F308-E308)*1440</f>
        <v/>
      </c>
    </row>
    <row r="309" s="11">
      <c r="G309" s="70">
        <f>(F309-E309)*1440</f>
        <v/>
      </c>
    </row>
    <row r="310" s="11">
      <c r="G310" s="70">
        <f>(F310-E310)*1440</f>
        <v/>
      </c>
    </row>
    <row r="311" s="11">
      <c r="G311" s="70">
        <f>(F311-E311)*1440</f>
        <v/>
      </c>
    </row>
    <row r="312" s="11">
      <c r="G312" s="70">
        <f>(F312-E312)*1440</f>
        <v/>
      </c>
    </row>
    <row r="313" s="11">
      <c r="G313" s="70">
        <f>(F313-E313)*1440</f>
        <v/>
      </c>
    </row>
    <row r="314" s="11">
      <c r="G314" s="70">
        <f>(F314-E314)*1440</f>
        <v/>
      </c>
    </row>
    <row r="315" s="11">
      <c r="G315" s="70">
        <f>(F315-E315)*1440</f>
        <v/>
      </c>
    </row>
    <row r="316" s="11">
      <c r="G316" s="70">
        <f>(F316-E316)*1440</f>
        <v/>
      </c>
    </row>
    <row r="317" s="11">
      <c r="G317" s="70">
        <f>(F317-E317)*1440</f>
        <v/>
      </c>
    </row>
    <row r="318" s="11">
      <c r="G318" s="70">
        <f>(F318-E318)*1440</f>
        <v/>
      </c>
    </row>
    <row r="319" s="11">
      <c r="G319" s="70">
        <f>(F319-E319)*1440</f>
        <v/>
      </c>
    </row>
    <row r="320" s="11">
      <c r="G320" s="70">
        <f>(F320-E320)*1440</f>
        <v/>
      </c>
    </row>
    <row r="321" s="11">
      <c r="G321" s="70">
        <f>(F321-E321)*1440</f>
        <v/>
      </c>
    </row>
    <row r="322" s="11">
      <c r="G322" s="70">
        <f>(F322-E322)*1440</f>
        <v/>
      </c>
    </row>
    <row r="323" s="11">
      <c r="G323" s="70">
        <f>(F323-E323)*1440</f>
        <v/>
      </c>
    </row>
    <row r="324" s="11">
      <c r="G324" s="70">
        <f>(F324-E324)*1440</f>
        <v/>
      </c>
    </row>
    <row r="325" s="11">
      <c r="G325" s="70">
        <f>(F325-E325)*1440</f>
        <v/>
      </c>
    </row>
    <row r="326" s="11">
      <c r="G326" s="70">
        <f>(F326-E326)*1440</f>
        <v/>
      </c>
    </row>
    <row r="327" s="11">
      <c r="G327" s="70">
        <f>(F327-E327)*1440</f>
        <v/>
      </c>
    </row>
    <row r="328" s="11">
      <c r="G328" s="70">
        <f>(F328-E328)*1440</f>
        <v/>
      </c>
    </row>
    <row r="329" s="11">
      <c r="G329" s="70">
        <f>(F329-E329)*1440</f>
        <v/>
      </c>
    </row>
    <row r="330" s="11">
      <c r="G330" s="70">
        <f>(F330-E330)*1440</f>
        <v/>
      </c>
    </row>
    <row r="331" s="11">
      <c r="G331" s="70">
        <f>(F331-E331)*1440</f>
        <v/>
      </c>
    </row>
    <row r="332" s="11">
      <c r="G332" s="70">
        <f>(F332-E332)*1440</f>
        <v/>
      </c>
    </row>
    <row r="333" s="11">
      <c r="G333" s="70">
        <f>(F333-E333)*1440</f>
        <v/>
      </c>
    </row>
    <row r="334" s="11">
      <c r="G334" s="70">
        <f>(F334-E334)*1440</f>
        <v/>
      </c>
    </row>
    <row r="335" s="11">
      <c r="G335" s="70">
        <f>(F335-E335)*1440</f>
        <v/>
      </c>
    </row>
    <row r="336" s="11">
      <c r="G336" s="70">
        <f>(F336-E336)*1440</f>
        <v/>
      </c>
    </row>
    <row r="337" s="11">
      <c r="G337" s="70">
        <f>(F337-E337)*1440</f>
        <v/>
      </c>
    </row>
    <row r="338" s="11">
      <c r="G338" s="70">
        <f>(F338-E338)*1440</f>
        <v/>
      </c>
    </row>
    <row r="339" s="11">
      <c r="G339" s="70">
        <f>(F339-E339)*1440</f>
        <v/>
      </c>
    </row>
    <row r="340" s="11">
      <c r="G340" s="70">
        <f>(F340-E340)*1440</f>
        <v/>
      </c>
    </row>
    <row r="341" s="11">
      <c r="G341" s="70">
        <f>(F341-E341)*1440</f>
        <v/>
      </c>
    </row>
    <row r="342" s="11">
      <c r="G342" s="70">
        <f>(F342-E342)*1440</f>
        <v/>
      </c>
    </row>
    <row r="343" s="11">
      <c r="G343" s="70">
        <f>(F343-E343)*1440</f>
        <v/>
      </c>
    </row>
    <row r="344" s="11">
      <c r="G344" s="70">
        <f>(F344-E344)*1440</f>
        <v/>
      </c>
    </row>
    <row r="345" s="11">
      <c r="G345" s="70">
        <f>(F345-E345)*1440</f>
        <v/>
      </c>
    </row>
    <row r="346" s="11">
      <c r="G346" s="70">
        <f>(F346-E346)*1440</f>
        <v/>
      </c>
    </row>
    <row r="347" s="11">
      <c r="G347" s="70">
        <f>(F347-E347)*1440</f>
        <v/>
      </c>
    </row>
    <row r="348" s="11">
      <c r="G348" s="70">
        <f>(F348-E348)*1440</f>
        <v/>
      </c>
    </row>
    <row r="349" s="11">
      <c r="G349" s="70">
        <f>(F349-E349)*1440</f>
        <v/>
      </c>
    </row>
    <row r="350" s="11">
      <c r="G350" s="70">
        <f>(F350-E350)*1440</f>
        <v/>
      </c>
    </row>
    <row r="351" s="11">
      <c r="G351" s="70">
        <f>(F351-E351)*1440</f>
        <v/>
      </c>
    </row>
    <row r="352" s="11">
      <c r="G352" s="70">
        <f>(F352-E352)*1440</f>
        <v/>
      </c>
    </row>
    <row r="353" s="11">
      <c r="G353" s="70">
        <f>(F353-E353)*1440</f>
        <v/>
      </c>
    </row>
    <row r="354" s="11">
      <c r="G354" s="70">
        <f>(F354-E354)*1440</f>
        <v/>
      </c>
    </row>
    <row r="355" s="11">
      <c r="G355" s="70">
        <f>(F355-E355)*1440</f>
        <v/>
      </c>
    </row>
    <row r="356" s="11">
      <c r="G356" s="70">
        <f>(F356-E356)*1440</f>
        <v/>
      </c>
    </row>
    <row r="357" s="11">
      <c r="G357" s="70">
        <f>(F357-E357)*1440</f>
        <v/>
      </c>
    </row>
    <row r="358" s="11">
      <c r="G358" s="70">
        <f>(F358-E358)*1440</f>
        <v/>
      </c>
    </row>
    <row r="359" s="11">
      <c r="G359" s="70">
        <f>(F359-E359)*1440</f>
        <v/>
      </c>
    </row>
    <row r="360" s="11">
      <c r="G360" s="70">
        <f>(F360-E360)*1440</f>
        <v/>
      </c>
    </row>
    <row r="361" s="11">
      <c r="G361" s="70">
        <f>(F361-E361)*1440</f>
        <v/>
      </c>
    </row>
    <row r="362" s="11">
      <c r="G362" s="70">
        <f>(F362-E362)*1440</f>
        <v/>
      </c>
    </row>
    <row r="363" s="11">
      <c r="G363" s="70">
        <f>(F363-E363)*1440</f>
        <v/>
      </c>
    </row>
    <row r="364" s="11">
      <c r="G364" s="70">
        <f>(F364-E364)*1440</f>
        <v/>
      </c>
    </row>
    <row r="365" s="11">
      <c r="G365" s="70">
        <f>(F365-E365)*1440</f>
        <v/>
      </c>
    </row>
    <row r="366" s="11">
      <c r="G366" s="70">
        <f>(F366-E366)*1440</f>
        <v/>
      </c>
    </row>
    <row r="367" s="11">
      <c r="G367" s="70">
        <f>(F367-E367)*1440</f>
        <v/>
      </c>
    </row>
    <row r="368" s="11">
      <c r="G368" s="70">
        <f>(F368-E368)*1440</f>
        <v/>
      </c>
    </row>
    <row r="369" s="11">
      <c r="G369" s="70">
        <f>(F369-E369)*1440</f>
        <v/>
      </c>
    </row>
    <row r="370" s="11">
      <c r="G370" s="70">
        <f>(F370-E370)*1440</f>
        <v/>
      </c>
    </row>
    <row r="371" s="11">
      <c r="G371" s="70">
        <f>(F371-E371)*1440</f>
        <v/>
      </c>
    </row>
    <row r="372" s="11">
      <c r="G372" s="70">
        <f>(F372-E372)*1440</f>
        <v/>
      </c>
    </row>
    <row r="373" s="11">
      <c r="G373" s="70">
        <f>(F373-E373)*1440</f>
        <v/>
      </c>
    </row>
    <row r="374" s="11">
      <c r="G374" s="70">
        <f>(F374-E374)*1440</f>
        <v/>
      </c>
    </row>
    <row r="375" s="11">
      <c r="G375" s="70">
        <f>(F375-E375)*1440</f>
        <v/>
      </c>
    </row>
    <row r="376" s="11">
      <c r="G376" s="70">
        <f>(F376-E376)*1440</f>
        <v/>
      </c>
    </row>
    <row r="377" s="11">
      <c r="G377" s="70">
        <f>(F377-E377)*1440</f>
        <v/>
      </c>
    </row>
    <row r="378" s="11">
      <c r="G378" s="70">
        <f>(F378-E378)*1440</f>
        <v/>
      </c>
    </row>
    <row r="379" s="11">
      <c r="G379" s="70">
        <f>(F379-E379)*1440</f>
        <v/>
      </c>
    </row>
    <row r="380" s="11">
      <c r="G380" s="70">
        <f>(F380-E380)*1440</f>
        <v/>
      </c>
    </row>
    <row r="381" s="11">
      <c r="G381" s="70">
        <f>(F381-E381)*1440</f>
        <v/>
      </c>
    </row>
    <row r="382" s="11">
      <c r="G382" s="70">
        <f>(F382-E382)*1440</f>
        <v/>
      </c>
    </row>
    <row r="383" s="11">
      <c r="G383" s="70">
        <f>(F383-E383)*1440</f>
        <v/>
      </c>
    </row>
    <row r="384" s="11">
      <c r="G384" s="70">
        <f>(F384-E384)*1440</f>
        <v/>
      </c>
    </row>
    <row r="385" s="11">
      <c r="G385" s="70">
        <f>(F385-E385)*1440</f>
        <v/>
      </c>
    </row>
    <row r="386" s="11">
      <c r="G386" s="70">
        <f>(F386-E386)*1440</f>
        <v/>
      </c>
    </row>
    <row r="387" s="11">
      <c r="G387" s="70">
        <f>(F387-E387)*1440</f>
        <v/>
      </c>
    </row>
    <row r="388" s="11">
      <c r="G388" s="70">
        <f>(F388-E388)*1440</f>
        <v/>
      </c>
    </row>
    <row r="389" s="11">
      <c r="G389" s="70">
        <f>(F389-E389)*1440</f>
        <v/>
      </c>
    </row>
    <row r="390" s="11">
      <c r="G390" s="70">
        <f>(F390-E390)*1440</f>
        <v/>
      </c>
    </row>
    <row r="391" s="11">
      <c r="G391" s="70">
        <f>(F391-E391)*1440</f>
        <v/>
      </c>
    </row>
    <row r="392" s="11">
      <c r="G392" s="70">
        <f>(F392-E392)*1440</f>
        <v/>
      </c>
    </row>
    <row r="393" s="11">
      <c r="G393" s="70">
        <f>(F393-E393)*1440</f>
        <v/>
      </c>
    </row>
    <row r="394" s="11">
      <c r="G394" s="70">
        <f>(F394-E394)*1440</f>
        <v/>
      </c>
    </row>
    <row r="395" s="11">
      <c r="G395" s="70">
        <f>(F395-E395)*1440</f>
        <v/>
      </c>
    </row>
    <row r="396" s="11">
      <c r="G396" s="70">
        <f>(F396-E396)*1440</f>
        <v/>
      </c>
    </row>
    <row r="397" s="11">
      <c r="G397" s="70">
        <f>(F397-E397)*1440</f>
        <v/>
      </c>
    </row>
    <row r="398" s="11">
      <c r="G398" s="70">
        <f>(F398-E398)*1440</f>
        <v/>
      </c>
    </row>
    <row r="399" s="11">
      <c r="G399" s="70">
        <f>(F399-E399)*1440</f>
        <v/>
      </c>
    </row>
    <row r="400" s="11">
      <c r="G400" s="70">
        <f>(F400-E400)*1440</f>
        <v/>
      </c>
    </row>
    <row r="401" s="11">
      <c r="G401" s="70">
        <f>(F401-E401)*1440</f>
        <v/>
      </c>
    </row>
    <row r="402" s="11">
      <c r="G402" s="70">
        <f>(F402-E402)*1440</f>
        <v/>
      </c>
    </row>
    <row r="403" s="11">
      <c r="G403" s="70">
        <f>(F403-E403)*1440</f>
        <v/>
      </c>
    </row>
    <row r="404" s="11">
      <c r="G404" s="70">
        <f>(F404-E404)*1440</f>
        <v/>
      </c>
    </row>
    <row r="405" s="11">
      <c r="G405" s="70">
        <f>(F405-E405)*1440</f>
        <v/>
      </c>
    </row>
    <row r="406" s="11">
      <c r="G406" s="70">
        <f>(F406-E406)*1440</f>
        <v/>
      </c>
    </row>
    <row r="407" s="11">
      <c r="G407" s="70">
        <f>(F407-E407)*1440</f>
        <v/>
      </c>
    </row>
    <row r="408" s="11">
      <c r="G408" s="70">
        <f>(F408-E408)*1440</f>
        <v/>
      </c>
    </row>
    <row r="409" s="11">
      <c r="G409" s="70">
        <f>(F409-E409)*1440</f>
        <v/>
      </c>
    </row>
    <row r="410" s="11">
      <c r="G410" s="70">
        <f>(F410-E410)*1440</f>
        <v/>
      </c>
    </row>
    <row r="411" s="11">
      <c r="G411" s="70">
        <f>(F411-E411)*1440</f>
        <v/>
      </c>
    </row>
    <row r="412" s="11">
      <c r="G412" s="70">
        <f>(F412-E412)*1440</f>
        <v/>
      </c>
    </row>
    <row r="413" s="11">
      <c r="G413" s="70">
        <f>(F413-E413)*1440</f>
        <v/>
      </c>
    </row>
    <row r="414" s="11">
      <c r="G414" s="70">
        <f>(F414-E414)*1440</f>
        <v/>
      </c>
    </row>
    <row r="415" s="11">
      <c r="G415" s="70">
        <f>(F415-E415)*1440</f>
        <v/>
      </c>
    </row>
    <row r="416" s="11">
      <c r="G416" s="70">
        <f>(F416-E416)*1440</f>
        <v/>
      </c>
    </row>
    <row r="417" s="11">
      <c r="G417" s="70">
        <f>(F417-E417)*1440</f>
        <v/>
      </c>
    </row>
    <row r="418" s="11">
      <c r="G418" s="70">
        <f>(F418-E418)*1440</f>
        <v/>
      </c>
    </row>
    <row r="419" s="11">
      <c r="G419" s="70">
        <f>(F419-E419)*1440</f>
        <v/>
      </c>
    </row>
    <row r="420" s="11">
      <c r="G420" s="70">
        <f>(F420-E420)*1440</f>
        <v/>
      </c>
    </row>
    <row r="421" s="11">
      <c r="G421" s="70">
        <f>(F421-E421)*1440</f>
        <v/>
      </c>
    </row>
    <row r="422" s="11">
      <c r="G422" s="70">
        <f>(F422-E422)*1440</f>
        <v/>
      </c>
    </row>
    <row r="423" s="11">
      <c r="G423" s="70">
        <f>(F423-E423)*1440</f>
        <v/>
      </c>
    </row>
    <row r="424" s="11">
      <c r="G424" s="70">
        <f>(F424-E424)*1440</f>
        <v/>
      </c>
    </row>
    <row r="425" s="11">
      <c r="G425" s="70">
        <f>(F425-E425)*1440</f>
        <v/>
      </c>
    </row>
    <row r="426" s="11">
      <c r="G426" s="70">
        <f>(F426-E426)*1440</f>
        <v/>
      </c>
    </row>
    <row r="427" s="11">
      <c r="G427" s="70">
        <f>(F427-E427)*1440</f>
        <v/>
      </c>
    </row>
    <row r="428" s="11">
      <c r="G428" s="70">
        <f>(F428-E428)*1440</f>
        <v/>
      </c>
    </row>
    <row r="429" s="11">
      <c r="G429" s="70">
        <f>(F429-E429)*1440</f>
        <v/>
      </c>
    </row>
    <row r="430" s="11">
      <c r="G430" s="70">
        <f>(F430-E430)*1440</f>
        <v/>
      </c>
    </row>
    <row r="431" s="11">
      <c r="G431" s="70">
        <f>(F431-E431)*1440</f>
        <v/>
      </c>
    </row>
    <row r="432" s="11">
      <c r="G432" s="70">
        <f>(F432-E432)*1440</f>
        <v/>
      </c>
    </row>
    <row r="433" s="11">
      <c r="G433" s="70">
        <f>(F433-E433)*1440</f>
        <v/>
      </c>
    </row>
    <row r="434" s="11">
      <c r="G434" s="70">
        <f>(F434-E434)*1440</f>
        <v/>
      </c>
    </row>
    <row r="435" s="11">
      <c r="G435" s="70">
        <f>(F435-E435)*1440</f>
        <v/>
      </c>
    </row>
    <row r="436" s="11">
      <c r="G436" s="70">
        <f>(F436-E436)*1440</f>
        <v/>
      </c>
    </row>
    <row r="437" s="11">
      <c r="G437" s="70">
        <f>(F437-E437)*1440</f>
        <v/>
      </c>
    </row>
    <row r="438" s="11">
      <c r="G438" s="70">
        <f>(F438-E438)*1440</f>
        <v/>
      </c>
    </row>
    <row r="439" s="11">
      <c r="G439" s="70">
        <f>(F439-E439)*1440</f>
        <v/>
      </c>
    </row>
    <row r="440" s="11">
      <c r="G440" s="70">
        <f>(F440-E440)*1440</f>
        <v/>
      </c>
    </row>
    <row r="441" s="11">
      <c r="G441" s="70">
        <f>(F441-E441)*1440</f>
        <v/>
      </c>
    </row>
    <row r="442" s="11">
      <c r="G442" s="70">
        <f>(F442-E442)*1440</f>
        <v/>
      </c>
    </row>
    <row r="443" s="11">
      <c r="G443" s="70">
        <f>(F443-E443)*1440</f>
        <v/>
      </c>
    </row>
    <row r="444" s="11">
      <c r="G444" s="70">
        <f>(F444-E444)*1440</f>
        <v/>
      </c>
    </row>
    <row r="445" s="11">
      <c r="G445" s="70">
        <f>(F445-E445)*1440</f>
        <v/>
      </c>
    </row>
    <row r="446" s="11">
      <c r="G446" s="70">
        <f>(F446-E446)*1440</f>
        <v/>
      </c>
    </row>
    <row r="447" s="11">
      <c r="G447" s="70">
        <f>(F447-E447)*1440</f>
        <v/>
      </c>
    </row>
    <row r="448" s="11">
      <c r="G448" s="70">
        <f>(F448-E448)*1440</f>
        <v/>
      </c>
    </row>
    <row r="449" s="11">
      <c r="G449" s="70">
        <f>(F449-E449)*1440</f>
        <v/>
      </c>
    </row>
    <row r="450" s="11">
      <c r="G450" s="70">
        <f>(F450-E450)*1440</f>
        <v/>
      </c>
    </row>
    <row r="451" s="11">
      <c r="G451" s="70">
        <f>(F451-E451)*1440</f>
        <v/>
      </c>
    </row>
    <row r="452" s="11">
      <c r="G452" s="70">
        <f>(F452-E452)*1440</f>
        <v/>
      </c>
    </row>
    <row r="453" s="11">
      <c r="G453" s="70">
        <f>(F453-E453)*1440</f>
        <v/>
      </c>
    </row>
    <row r="454" s="11">
      <c r="G454" s="70">
        <f>(F454-E454)*1440</f>
        <v/>
      </c>
    </row>
    <row r="455" s="11">
      <c r="G455" s="70">
        <f>(F455-E455)*1440</f>
        <v/>
      </c>
    </row>
    <row r="456" s="11">
      <c r="G456" s="70">
        <f>(F456-E456)*1440</f>
        <v/>
      </c>
    </row>
    <row r="457" s="11">
      <c r="G457" s="70">
        <f>(F457-E457)*1440</f>
        <v/>
      </c>
    </row>
    <row r="458" s="11">
      <c r="G458" s="70">
        <f>(F458-E458)*1440</f>
        <v/>
      </c>
    </row>
    <row r="459" s="11">
      <c r="G459" s="70">
        <f>(F459-E459)*1440</f>
        <v/>
      </c>
    </row>
    <row r="460" s="11">
      <c r="G460" s="70">
        <f>(F460-E460)*1440</f>
        <v/>
      </c>
    </row>
    <row r="461" s="11">
      <c r="G461" s="70">
        <f>(F461-E461)*1440</f>
        <v/>
      </c>
    </row>
    <row r="462" s="11">
      <c r="G462" s="70">
        <f>(F462-E462)*1440</f>
        <v/>
      </c>
    </row>
    <row r="463" s="11">
      <c r="G463" s="70">
        <f>(F463-E463)*1440</f>
        <v/>
      </c>
    </row>
    <row r="464" s="11">
      <c r="G464" s="70">
        <f>(F464-E464)*1440</f>
        <v/>
      </c>
    </row>
    <row r="465" s="11">
      <c r="G465" s="70">
        <f>(F465-E465)*1440</f>
        <v/>
      </c>
    </row>
    <row r="466" s="11">
      <c r="G466" s="70">
        <f>(F466-E466)*1440</f>
        <v/>
      </c>
    </row>
    <row r="467" s="11">
      <c r="G467" s="70">
        <f>(F467-E467)*1440</f>
        <v/>
      </c>
    </row>
    <row r="468" s="11">
      <c r="G468" s="70">
        <f>(F468-E468)*1440</f>
        <v/>
      </c>
    </row>
    <row r="469" s="11">
      <c r="G469" s="70">
        <f>(F469-E469)*1440</f>
        <v/>
      </c>
    </row>
    <row r="470" s="11">
      <c r="G470" s="70">
        <f>(F470-E470)*1440</f>
        <v/>
      </c>
    </row>
    <row r="471" s="11">
      <c r="G471" s="70">
        <f>(F471-E471)*1440</f>
        <v/>
      </c>
    </row>
    <row r="472" s="11">
      <c r="G472" s="70">
        <f>(F472-E472)*1440</f>
        <v/>
      </c>
    </row>
    <row r="473" s="11">
      <c r="G473" s="70">
        <f>(F473-E473)*1440</f>
        <v/>
      </c>
    </row>
    <row r="474" s="11">
      <c r="G474" s="70">
        <f>(F474-E474)*1440</f>
        <v/>
      </c>
    </row>
    <row r="475" s="11">
      <c r="G475" s="70">
        <f>(F475-E475)*1440</f>
        <v/>
      </c>
    </row>
    <row r="476" s="11">
      <c r="G476" s="70">
        <f>(F476-E476)*1440</f>
        <v/>
      </c>
    </row>
    <row r="477" s="11">
      <c r="G477" s="70">
        <f>(F477-E477)*1440</f>
        <v/>
      </c>
    </row>
    <row r="478" s="11">
      <c r="G478" s="70">
        <f>(F478-E478)*1440</f>
        <v/>
      </c>
    </row>
    <row r="479" s="11">
      <c r="G479" s="70">
        <f>(F479-E479)*1440</f>
        <v/>
      </c>
    </row>
    <row r="480" s="11">
      <c r="G480" s="70">
        <f>(F480-E480)*1440</f>
        <v/>
      </c>
    </row>
    <row r="481" s="11">
      <c r="G481" s="70">
        <f>(F481-E481)*1440</f>
        <v/>
      </c>
    </row>
    <row r="482" s="11">
      <c r="G482" s="70">
        <f>(F482-E482)*1440</f>
        <v/>
      </c>
    </row>
    <row r="483" s="11">
      <c r="G483" s="70">
        <f>(F483-E483)*1440</f>
        <v/>
      </c>
    </row>
    <row r="484" s="11">
      <c r="G484" s="70">
        <f>(F484-E484)*1440</f>
        <v/>
      </c>
    </row>
    <row r="485" s="11">
      <c r="G485" s="70">
        <f>(F485-E485)*1440</f>
        <v/>
      </c>
    </row>
    <row r="486" s="11">
      <c r="G486" s="70">
        <f>(F486-E486)*1440</f>
        <v/>
      </c>
    </row>
    <row r="487" s="11">
      <c r="G487" s="70">
        <f>(F487-E487)*1440</f>
        <v/>
      </c>
    </row>
    <row r="488" s="11">
      <c r="G488" s="70">
        <f>(F488-E488)*1440</f>
        <v/>
      </c>
    </row>
    <row r="489" s="11">
      <c r="G489" s="70">
        <f>(F489-E489)*1440</f>
        <v/>
      </c>
    </row>
    <row r="490" s="11">
      <c r="G490" s="70">
        <f>(F490-E490)*1440</f>
        <v/>
      </c>
    </row>
    <row r="491" s="11">
      <c r="G491" s="70">
        <f>(F491-E491)*1440</f>
        <v/>
      </c>
    </row>
    <row r="492" s="11">
      <c r="G492" s="70">
        <f>(F492-E492)*1440</f>
        <v/>
      </c>
    </row>
    <row r="493" s="11">
      <c r="G493" s="70">
        <f>(F493-E493)*1440</f>
        <v/>
      </c>
    </row>
    <row r="494" s="11">
      <c r="G494" s="70">
        <f>(F494-E494)*1440</f>
        <v/>
      </c>
    </row>
    <row r="495" s="11">
      <c r="G495" s="70">
        <f>(F495-E495)*1440</f>
        <v/>
      </c>
    </row>
    <row r="496" s="11">
      <c r="G496" s="70">
        <f>(F496-E496)*1440</f>
        <v/>
      </c>
    </row>
    <row r="497" s="11">
      <c r="G497" s="70">
        <f>(F497-E497)*1440</f>
        <v/>
      </c>
    </row>
    <row r="498" s="11">
      <c r="G498" s="70">
        <f>(F498-E498)*1440</f>
        <v/>
      </c>
    </row>
    <row r="499" s="11">
      <c r="G499" s="70">
        <f>(F499-E499)*1440</f>
        <v/>
      </c>
    </row>
    <row r="500" s="11">
      <c r="G500" s="70">
        <f>(F500-E500)*1440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G280" sqref="G280"/>
    </sheetView>
  </sheetViews>
  <sheetFormatPr baseColWidth="8" defaultRowHeight="14.5"/>
  <cols>
    <col width="12" customWidth="1" style="11" min="1" max="1"/>
    <col width="18" customWidth="1" style="11" min="2" max="2"/>
    <col width="36" customWidth="1" style="11" min="3" max="3"/>
    <col width="13" customWidth="1" style="11" min="4" max="4"/>
    <col width="14" customWidth="1" style="11" min="5" max="5"/>
    <col width="13" customWidth="1" style="11" min="6" max="6"/>
    <col width="15" customWidth="1" style="11" min="7" max="7"/>
    <col width="13" customWidth="1" style="11" min="8" max="8"/>
    <col width="36" customWidth="1" style="11" min="9" max="9"/>
  </cols>
  <sheetData>
    <row r="1" ht="18" customHeight="1" s="11">
      <c r="A1" s="77" t="inlineStr">
        <is>
          <t>🪣  SERVICES &amp; PRICING CATALOG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</row>
    <row r="2" ht="52" customHeight="1" s="11">
      <c r="A2" s="13" t="inlineStr">
        <is>
          <t>Service
Code</t>
        </is>
      </c>
      <c r="B2" s="13" t="inlineStr">
        <is>
          <t>Service
Category</t>
        </is>
      </c>
      <c r="C2" s="13" t="inlineStr">
        <is>
          <t>Service
Name / Description</t>
        </is>
      </c>
      <c r="D2" s="13" t="inlineStr">
        <is>
          <t>Base
Price ($)</t>
        </is>
      </c>
      <c r="E2" s="13" t="inlineStr">
        <is>
          <t>Unit /
Basis</t>
        </is>
      </c>
      <c r="F2" s="13" t="inlineStr">
        <is>
          <t>Min.
Charge ($)</t>
        </is>
      </c>
      <c r="G2" s="13" t="inlineStr">
        <is>
          <t>Comm.
Multiplier</t>
        </is>
      </c>
      <c r="H2" s="13" t="inlineStr">
        <is>
          <t>Tax
Category</t>
        </is>
      </c>
      <c r="I2" s="13" t="inlineStr">
        <is>
          <t>Notes</t>
        </is>
      </c>
    </row>
    <row r="3" ht="18" customHeight="1" s="11">
      <c r="A3" s="85" t="inlineStr">
        <is>
          <t>WIN-01</t>
        </is>
      </c>
      <c r="B3" s="85" t="inlineStr">
        <is>
          <t>Window Washing</t>
        </is>
      </c>
      <c r="C3" s="85" t="inlineStr">
        <is>
          <t>Residential — per window pane</t>
        </is>
      </c>
      <c r="D3" s="86" t="n">
        <v>12</v>
      </c>
      <c r="E3" s="85" t="inlineStr">
        <is>
          <t>per pane</t>
        </is>
      </c>
      <c r="F3" s="86" t="n">
        <v>75</v>
      </c>
      <c r="G3" s="85" t="n">
        <v>1</v>
      </c>
      <c r="H3" s="85" t="inlineStr">
        <is>
          <t>Taxable</t>
        </is>
      </c>
      <c r="I3" s="85" t="inlineStr">
        <is>
          <t>Standard single/double pane</t>
        </is>
      </c>
    </row>
    <row r="4" ht="18" customHeight="1" s="11">
      <c r="A4" s="85" t="inlineStr">
        <is>
          <t>WIN-02</t>
        </is>
      </c>
      <c r="B4" s="85" t="inlineStr">
        <is>
          <t>Window Washing</t>
        </is>
      </c>
      <c r="C4" s="85" t="inlineStr">
        <is>
          <t>Commercial storefront — per panel</t>
        </is>
      </c>
      <c r="D4" s="86" t="n">
        <v>45</v>
      </c>
      <c r="E4" s="85" t="inlineStr">
        <is>
          <t>per panel</t>
        </is>
      </c>
      <c r="F4" s="86" t="n">
        <v>100</v>
      </c>
      <c r="G4" s="85" t="n">
        <v>1.2</v>
      </c>
      <c r="H4" s="85" t="inlineStr">
        <is>
          <t>Taxable</t>
        </is>
      </c>
      <c r="I4" s="85" t="inlineStr">
        <is>
          <t>Large glass panels</t>
        </is>
      </c>
    </row>
    <row r="5" ht="18" customHeight="1" s="11">
      <c r="A5" s="85" t="inlineStr">
        <is>
          <t>WIN-03</t>
        </is>
      </c>
      <c r="B5" s="85" t="inlineStr">
        <is>
          <t>Window Washing</t>
        </is>
      </c>
      <c r="C5" s="85" t="inlineStr">
        <is>
          <t>High-rise / 2nd story add-on</t>
        </is>
      </c>
      <c r="D5" s="86" t="n">
        <v>5</v>
      </c>
      <c r="E5" s="85" t="inlineStr">
        <is>
          <t>per pane</t>
        </is>
      </c>
      <c r="F5" s="86" t="n">
        <v>0</v>
      </c>
      <c r="G5" s="85" t="n">
        <v>0</v>
      </c>
      <c r="H5" s="85" t="inlineStr">
        <is>
          <t>Taxable</t>
        </is>
      </c>
      <c r="I5" s="85" t="inlineStr">
        <is>
          <t>Added to base window price</t>
        </is>
      </c>
    </row>
    <row r="6" ht="18" customHeight="1" s="11">
      <c r="A6" s="85" t="inlineStr">
        <is>
          <t>WIN-04</t>
        </is>
      </c>
      <c r="B6" s="85" t="inlineStr">
        <is>
          <t>Window Washing</t>
        </is>
      </c>
      <c r="C6" s="85" t="inlineStr">
        <is>
          <t>Screen cleaning</t>
        </is>
      </c>
      <c r="D6" s="86" t="n">
        <v>3</v>
      </c>
      <c r="E6" s="85" t="inlineStr">
        <is>
          <t>per screen</t>
        </is>
      </c>
      <c r="F6" s="86" t="n">
        <v>0</v>
      </c>
      <c r="G6" s="85" t="n">
        <v>0</v>
      </c>
      <c r="H6" s="85" t="inlineStr">
        <is>
          <t>Taxable</t>
        </is>
      </c>
      <c r="I6" s="85" t="inlineStr">
        <is>
          <t>Remove, clean, reinstall</t>
        </is>
      </c>
    </row>
    <row r="7" ht="18" customHeight="1" s="11">
      <c r="A7" s="85" t="inlineStr">
        <is>
          <t>WIN-05</t>
        </is>
      </c>
      <c r="B7" s="85" t="inlineStr">
        <is>
          <t>Window Washing</t>
        </is>
      </c>
      <c r="C7" s="85" t="inlineStr">
        <is>
          <t>Interior + Exterior combo</t>
        </is>
      </c>
      <c r="D7" s="86" t="n">
        <v>18</v>
      </c>
      <c r="E7" s="85" t="inlineStr">
        <is>
          <t>per pane</t>
        </is>
      </c>
      <c r="F7" s="86" t="n">
        <v>90</v>
      </c>
      <c r="G7" s="85" t="n">
        <v>1.15</v>
      </c>
      <c r="H7" s="85" t="inlineStr">
        <is>
          <t>Taxable</t>
        </is>
      </c>
      <c r="I7" s="85" t="inlineStr">
        <is>
          <t>Both sides</t>
        </is>
      </c>
    </row>
    <row r="8" ht="18" customHeight="1" s="11">
      <c r="A8" s="85" t="inlineStr">
        <is>
          <t>PRE-01</t>
        </is>
      </c>
      <c r="B8" s="85" t="inlineStr">
        <is>
          <t>Pressure Washing</t>
        </is>
      </c>
      <c r="C8" s="85" t="inlineStr">
        <is>
          <t>Driveway / concrete</t>
        </is>
      </c>
      <c r="D8" s="86" t="n">
        <v>0.15</v>
      </c>
      <c r="E8" s="85" t="inlineStr">
        <is>
          <t>per sq ft</t>
        </is>
      </c>
      <c r="F8" s="86" t="n">
        <v>100</v>
      </c>
      <c r="G8" s="85" t="n">
        <v>1.1</v>
      </c>
      <c r="H8" s="85" t="inlineStr">
        <is>
          <t>Taxable</t>
        </is>
      </c>
      <c r="I8" s="85" t="inlineStr">
        <is>
          <t>Up to 3000 PSI</t>
        </is>
      </c>
    </row>
    <row r="9" ht="18" customHeight="1" s="11">
      <c r="A9" s="85" t="inlineStr">
        <is>
          <t>PRE-02</t>
        </is>
      </c>
      <c r="B9" s="85" t="inlineStr">
        <is>
          <t>Pressure Washing</t>
        </is>
      </c>
      <c r="C9" s="85" t="inlineStr">
        <is>
          <t>House siding / exterior</t>
        </is>
      </c>
      <c r="D9" s="86" t="n">
        <v>0.2</v>
      </c>
      <c r="E9" s="85" t="inlineStr">
        <is>
          <t>per sq ft</t>
        </is>
      </c>
      <c r="F9" s="86" t="n">
        <v>150</v>
      </c>
      <c r="G9" s="85" t="n">
        <v>1.15</v>
      </c>
      <c r="H9" s="85" t="inlineStr">
        <is>
          <t>Taxable</t>
        </is>
      </c>
      <c r="I9" s="85" t="inlineStr">
        <is>
          <t>Soft wash available</t>
        </is>
      </c>
    </row>
    <row r="10" ht="18" customHeight="1" s="11">
      <c r="A10" s="85" t="inlineStr">
        <is>
          <t>PRE-03</t>
        </is>
      </c>
      <c r="B10" s="85" t="inlineStr">
        <is>
          <t>Pressure Washing</t>
        </is>
      </c>
      <c r="C10" s="85" t="inlineStr">
        <is>
          <t>Deck / wood surface</t>
        </is>
      </c>
      <c r="D10" s="86" t="n">
        <v>0.25</v>
      </c>
      <c r="E10" s="85" t="inlineStr">
        <is>
          <t>per sq ft</t>
        </is>
      </c>
      <c r="F10" s="86" t="n">
        <v>125</v>
      </c>
      <c r="G10" s="85" t="n">
        <v>1.1</v>
      </c>
      <c r="H10" s="85" t="inlineStr">
        <is>
          <t>Taxable</t>
        </is>
      </c>
      <c r="I10" s="85" t="inlineStr">
        <is>
          <t>Includes pre-treat</t>
        </is>
      </c>
    </row>
    <row r="11" ht="18" customHeight="1" s="11">
      <c r="A11" s="85" t="inlineStr">
        <is>
          <t>PRE-04</t>
        </is>
      </c>
      <c r="B11" s="85" t="inlineStr">
        <is>
          <t>Pressure Washing</t>
        </is>
      </c>
      <c r="C11" s="85" t="inlineStr">
        <is>
          <t>Fence — vinyl/wood</t>
        </is>
      </c>
      <c r="D11" s="86" t="n">
        <v>0.18</v>
      </c>
      <c r="E11" s="85" t="inlineStr">
        <is>
          <t>per linear ft</t>
        </is>
      </c>
      <c r="F11" s="86" t="n">
        <v>75</v>
      </c>
      <c r="G11" s="85" t="n">
        <v>1.1</v>
      </c>
      <c r="H11" s="85" t="inlineStr">
        <is>
          <t>Taxable</t>
        </is>
      </c>
      <c r="I11" s="85" t="inlineStr">
        <is>
          <t>Both sides</t>
        </is>
      </c>
    </row>
    <row r="12" ht="18" customHeight="1" s="11">
      <c r="A12" s="85" t="inlineStr">
        <is>
          <t>PRE-05</t>
        </is>
      </c>
      <c r="B12" s="85" t="inlineStr">
        <is>
          <t>Pressure Washing</t>
        </is>
      </c>
      <c r="C12" s="85" t="inlineStr">
        <is>
          <t>Roof soft wash</t>
        </is>
      </c>
      <c r="D12" s="86" t="n">
        <v>0.3</v>
      </c>
      <c r="E12" s="85" t="inlineStr">
        <is>
          <t>per sq ft</t>
        </is>
      </c>
      <c r="F12" s="86" t="n">
        <v>200</v>
      </c>
      <c r="G12" s="85" t="n">
        <v>1.25</v>
      </c>
      <c r="H12" s="85" t="inlineStr">
        <is>
          <t>Taxable</t>
        </is>
      </c>
      <c r="I12" s="85" t="inlineStr">
        <is>
          <t>Low pressure method</t>
        </is>
      </c>
    </row>
    <row r="13" ht="18" customHeight="1" s="11">
      <c r="A13" s="85" t="inlineStr">
        <is>
          <t>PKG-01</t>
        </is>
      </c>
      <c r="B13" s="85" t="inlineStr">
        <is>
          <t>Package Deal</t>
        </is>
      </c>
      <c r="C13" s="85" t="inlineStr">
        <is>
          <t>Window + Pressure combo</t>
        </is>
      </c>
      <c r="D13" s="86" t="inlineStr"/>
      <c r="E13" s="85" t="inlineStr">
        <is>
          <t>Flat / custom</t>
        </is>
      </c>
      <c r="F13" s="86" t="n">
        <v>200</v>
      </c>
      <c r="G13" s="85" t="n">
        <v>1</v>
      </c>
      <c r="H13" s="85" t="inlineStr">
        <is>
          <t>Taxable</t>
        </is>
      </c>
      <c r="I13" s="85" t="inlineStr">
        <is>
          <t>Quote per site visit</t>
        </is>
      </c>
    </row>
    <row r="14" ht="18" customFormat="1" customHeight="1" s="9">
      <c r="A14" s="85" t="inlineStr">
        <is>
          <t>PKG-02</t>
        </is>
      </c>
      <c r="B14" s="85" t="inlineStr">
        <is>
          <t>Package Deal</t>
        </is>
      </c>
      <c r="C14" s="85" t="inlineStr">
        <is>
          <t>Recurring monthly contract</t>
        </is>
      </c>
      <c r="D14" s="86" t="inlineStr"/>
      <c r="E14" s="85" t="inlineStr">
        <is>
          <t>Monthly flat</t>
        </is>
      </c>
      <c r="F14" s="86" t="n">
        <v>300</v>
      </c>
      <c r="G14" s="85" t="n">
        <v>1</v>
      </c>
      <c r="H14" s="85" t="inlineStr">
        <is>
          <t>Taxable</t>
        </is>
      </c>
      <c r="I14" s="85" t="inlineStr">
        <is>
          <t>Min 3-month commitment</t>
        </is>
      </c>
    </row>
    <row r="15" ht="18" customFormat="1" customHeight="1" s="9"/>
    <row r="16" ht="18" customFormat="1" customHeight="1" s="9"/>
    <row r="17" ht="18" customFormat="1" customHeight="1" s="9"/>
    <row r="18" ht="18" customFormat="1" customHeight="1" s="9"/>
    <row r="19" ht="18" customFormat="1" customHeight="1" s="9"/>
    <row r="20" ht="18" customFormat="1" customHeight="1" s="9"/>
    <row r="21" ht="18" customFormat="1" customHeight="1" s="9"/>
    <row r="22" ht="18" customFormat="1" customHeight="1" s="9"/>
    <row r="23" ht="18" customFormat="1" customHeight="1" s="9"/>
    <row r="24" ht="18" customFormat="1" customHeight="1" s="9"/>
    <row r="25" ht="18" customFormat="1" customHeight="1" s="9"/>
    <row r="26" ht="18" customFormat="1" customHeight="1" s="9"/>
    <row r="27" ht="18" customFormat="1" customHeight="1" s="9"/>
    <row r="28" ht="18" customFormat="1" customHeight="1" s="9"/>
    <row r="29" ht="18" customFormat="1" customHeight="1" s="9"/>
    <row r="30" ht="18" customFormat="1" customHeight="1" s="9"/>
    <row r="31" ht="18" customFormat="1" customHeight="1" s="9"/>
    <row r="32" ht="18" customFormat="1" customHeight="1" s="9"/>
    <row r="33" ht="18" customFormat="1" customHeight="1" s="9"/>
    <row r="34" ht="18" customFormat="1" customHeight="1" s="9"/>
    <row r="35" ht="18" customFormat="1" customHeight="1" s="9"/>
    <row r="36" ht="18" customFormat="1" customHeight="1" s="9"/>
    <row r="37" ht="18" customFormat="1" customHeight="1" s="9"/>
    <row r="38" ht="18" customFormat="1" customHeight="1" s="9"/>
    <row r="39" ht="18" customFormat="1" customHeight="1" s="9"/>
    <row r="40" ht="18" customFormat="1" customHeight="1" s="9"/>
    <row r="41" ht="18" customFormat="1" customHeight="1" s="9"/>
    <row r="42" ht="18" customFormat="1" customHeight="1" s="9"/>
    <row r="43" ht="18" customFormat="1" customHeight="1" s="9"/>
    <row r="44" ht="18" customFormat="1" customHeight="1" s="9"/>
    <row r="45" ht="18" customFormat="1" customHeight="1" s="9"/>
    <row r="46" ht="18" customFormat="1" customHeight="1" s="9"/>
    <row r="47" ht="18" customFormat="1" customHeight="1" s="9"/>
    <row r="48" ht="18" customFormat="1" customHeight="1" s="9"/>
    <row r="49" ht="18" customFormat="1" customHeight="1" s="9"/>
    <row r="50" ht="18" customFormat="1" customHeight="1" s="9"/>
    <row r="51" ht="18" customFormat="1" customHeight="1" s="9"/>
    <row r="52" ht="18" customFormat="1" customHeight="1" s="9"/>
    <row r="53" ht="18" customFormat="1" customHeight="1" s="9"/>
    <row r="54" ht="18" customFormat="1" customHeight="1" s="9"/>
    <row r="55" ht="18" customFormat="1" customHeight="1" s="9"/>
    <row r="56" ht="18" customFormat="1" customHeight="1" s="9"/>
    <row r="57" ht="18" customFormat="1" customHeight="1" s="9"/>
    <row r="58" ht="18" customFormat="1" customHeight="1" s="9"/>
    <row r="59" ht="18" customFormat="1" customHeight="1" s="9"/>
    <row r="60" ht="18" customFormat="1" customHeight="1" s="9"/>
    <row r="61" ht="18" customFormat="1" customHeight="1" s="9"/>
    <row r="62" ht="18" customFormat="1" customHeight="1" s="9"/>
    <row r="63" ht="18" customFormat="1" customHeight="1" s="9"/>
    <row r="64" ht="18" customFormat="1" customHeight="1" s="9"/>
    <row r="65" ht="18" customFormat="1" customHeight="1" s="9"/>
    <row r="66" ht="18" customFormat="1" customHeight="1" s="9"/>
    <row r="67" ht="18" customFormat="1" customHeight="1" s="9"/>
    <row r="68" ht="18" customFormat="1" customHeight="1" s="9"/>
    <row r="69" ht="18" customFormat="1" customHeight="1" s="9"/>
    <row r="70" ht="18" customFormat="1" customHeight="1" s="9"/>
    <row r="71" ht="18" customFormat="1" customHeight="1" s="9"/>
    <row r="72" ht="18" customFormat="1" customHeight="1" s="9"/>
    <row r="73" ht="18" customFormat="1" customHeight="1" s="9"/>
    <row r="74" ht="18" customFormat="1" customHeight="1" s="9"/>
    <row r="75" ht="18" customFormat="1" customHeight="1" s="9"/>
    <row r="76" ht="18" customFormat="1" customHeight="1" s="9"/>
    <row r="77" ht="18" customFormat="1" customHeight="1" s="9"/>
    <row r="78" ht="18" customFormat="1" customHeight="1" s="9"/>
    <row r="79" ht="18" customFormat="1" customHeight="1" s="9"/>
    <row r="80" ht="18" customFormat="1" customHeight="1" s="9"/>
    <row r="81" ht="18" customFormat="1" customHeight="1" s="9"/>
    <row r="82" ht="18" customFormat="1" customHeight="1" s="9"/>
    <row r="83" ht="18" customFormat="1" customHeight="1" s="9"/>
    <row r="84" ht="18" customFormat="1" customHeight="1" s="9"/>
    <row r="85" ht="18" customFormat="1" customHeight="1" s="9"/>
    <row r="86" ht="18" customFormat="1" customHeight="1" s="9"/>
    <row r="87" ht="18" customFormat="1" customHeight="1" s="9"/>
    <row r="88" ht="18" customFormat="1" customHeight="1" s="9"/>
    <row r="89" ht="18" customFormat="1" customHeight="1" s="9"/>
    <row r="90" ht="18" customFormat="1" customHeight="1" s="9"/>
    <row r="91" ht="18" customFormat="1" customHeight="1" s="9"/>
    <row r="92" ht="18" customFormat="1" customHeight="1" s="9"/>
    <row r="93" ht="18" customFormat="1" customHeight="1" s="9"/>
    <row r="94" ht="18" customFormat="1" customHeight="1" s="9"/>
    <row r="95" ht="18" customFormat="1" customHeight="1" s="9"/>
    <row r="96" ht="18" customFormat="1" customHeight="1" s="9"/>
    <row r="97" ht="18" customFormat="1" customHeight="1" s="9"/>
    <row r="98" ht="18" customFormat="1" customHeight="1" s="9"/>
    <row r="99" ht="18" customFormat="1" customHeight="1" s="9"/>
    <row r="100" ht="18" customFormat="1" customHeight="1" s="9"/>
    <row r="101" ht="18" customFormat="1" customHeight="1" s="9"/>
    <row r="102" ht="18" customFormat="1" customHeight="1" s="9"/>
    <row r="103" ht="18" customFormat="1" customHeight="1" s="9"/>
    <row r="104" ht="18" customFormat="1" customHeight="1" s="9"/>
    <row r="105" ht="18" customFormat="1" customHeight="1" s="9"/>
    <row r="106" ht="18" customFormat="1" customHeight="1" s="9"/>
    <row r="107" ht="18" customFormat="1" customHeight="1" s="9"/>
    <row r="108" ht="18" customFormat="1" customHeight="1" s="9"/>
    <row r="109" ht="18" customFormat="1" customHeight="1" s="9"/>
    <row r="110" ht="18" customFormat="1" customHeight="1" s="9"/>
    <row r="111" ht="18" customFormat="1" customHeight="1" s="9"/>
    <row r="112" ht="18" customFormat="1" customHeight="1" s="9"/>
    <row r="113" ht="18" customFormat="1" customHeight="1" s="9"/>
    <row r="114" ht="18" customFormat="1" customHeight="1" s="9"/>
    <row r="115" ht="18" customFormat="1" customHeight="1" s="9"/>
    <row r="116" ht="18" customFormat="1" customHeight="1" s="9"/>
    <row r="117" ht="18" customFormat="1" customHeight="1" s="9"/>
    <row r="118" ht="18" customFormat="1" customHeight="1" s="9"/>
    <row r="119" ht="18" customFormat="1" customHeight="1" s="9"/>
    <row r="120" ht="18" customFormat="1" customHeight="1" s="9"/>
    <row r="121" ht="18" customFormat="1" customHeight="1" s="9"/>
    <row r="122" ht="18" customFormat="1" customHeight="1" s="9"/>
    <row r="123" ht="18" customFormat="1" customHeight="1" s="9"/>
    <row r="124" ht="18" customFormat="1" customHeight="1" s="9"/>
    <row r="125" ht="18" customFormat="1" customHeight="1" s="9"/>
    <row r="126" ht="18" customFormat="1" customHeight="1" s="9"/>
    <row r="127" ht="18" customFormat="1" customHeight="1" s="9"/>
    <row r="128" ht="18" customFormat="1" customHeight="1" s="9"/>
    <row r="129" ht="18" customFormat="1" customHeight="1" s="9"/>
    <row r="130" ht="18" customFormat="1" customHeight="1" s="9"/>
    <row r="131" ht="18" customFormat="1" customHeight="1" s="9"/>
    <row r="132" ht="18" customFormat="1" customHeight="1" s="9"/>
    <row r="133" ht="18" customFormat="1" customHeight="1" s="9"/>
    <row r="134" ht="18" customFormat="1" customHeight="1" s="9"/>
    <row r="135" ht="18" customFormat="1" customHeight="1" s="9"/>
    <row r="136" ht="18" customFormat="1" customHeight="1" s="9"/>
    <row r="137" ht="18" customFormat="1" customHeight="1" s="9"/>
    <row r="138" ht="18" customFormat="1" customHeight="1" s="9"/>
    <row r="139" ht="18" customFormat="1" customHeight="1" s="9"/>
    <row r="140" ht="18" customFormat="1" customHeight="1" s="9"/>
    <row r="141" ht="18" customFormat="1" customHeight="1" s="9"/>
    <row r="142" ht="18" customFormat="1" customHeight="1" s="9"/>
    <row r="143" ht="18" customFormat="1" customHeight="1" s="9"/>
    <row r="144" ht="18" customFormat="1" customHeight="1" s="9"/>
    <row r="145" ht="18" customFormat="1" customHeight="1" s="9"/>
    <row r="146" ht="18" customFormat="1" customHeight="1" s="9"/>
    <row r="147" ht="18" customFormat="1" customHeight="1" s="9"/>
    <row r="148" ht="18" customFormat="1" customHeight="1" s="9"/>
    <row r="149" ht="18" customFormat="1" customHeight="1" s="9"/>
    <row r="150" ht="18" customFormat="1" customHeight="1" s="9"/>
    <row r="151" ht="18" customFormat="1" customHeight="1" s="9"/>
    <row r="152" ht="18" customFormat="1" customHeight="1" s="9"/>
    <row r="153" ht="18" customFormat="1" customHeight="1" s="9"/>
    <row r="154" ht="18" customFormat="1" customHeight="1" s="9"/>
    <row r="155" ht="18" customFormat="1" customHeight="1" s="9"/>
    <row r="156" ht="18" customFormat="1" customHeight="1" s="9"/>
    <row r="157" ht="18" customFormat="1" customHeight="1" s="9"/>
    <row r="158" ht="18" customFormat="1" customHeight="1" s="9"/>
    <row r="159" ht="18" customFormat="1" customHeight="1" s="9"/>
    <row r="160" ht="18" customFormat="1" customHeight="1" s="9"/>
    <row r="161" ht="18" customFormat="1" customHeight="1" s="9"/>
    <row r="162" ht="18" customFormat="1" customHeight="1" s="9"/>
    <row r="163" ht="18" customFormat="1" customHeight="1" s="9"/>
    <row r="164" ht="18" customFormat="1" customHeight="1" s="9"/>
    <row r="165" ht="18" customFormat="1" customHeight="1" s="9"/>
    <row r="166" ht="18" customFormat="1" customHeight="1" s="9"/>
    <row r="167" ht="18" customFormat="1" customHeight="1" s="9"/>
    <row r="168" ht="18" customFormat="1" customHeight="1" s="9"/>
    <row r="169" ht="18" customFormat="1" customHeight="1" s="9"/>
    <row r="170" ht="18" customFormat="1" customHeight="1" s="9"/>
    <row r="171" ht="18" customFormat="1" customHeight="1" s="9"/>
    <row r="172" ht="18" customFormat="1" customHeight="1" s="9"/>
    <row r="173" ht="18" customFormat="1" customHeight="1" s="9"/>
    <row r="174" ht="18" customFormat="1" customHeight="1" s="9"/>
    <row r="175" ht="18" customFormat="1" customHeight="1" s="9"/>
    <row r="176" ht="18" customFormat="1" customHeight="1" s="9"/>
    <row r="177" ht="18" customFormat="1" customHeight="1" s="9"/>
    <row r="178" ht="18" customFormat="1" customHeight="1" s="9"/>
    <row r="179" ht="18" customFormat="1" customHeight="1" s="9"/>
    <row r="180" ht="18" customFormat="1" customHeight="1" s="9"/>
    <row r="181" ht="18" customFormat="1" customHeight="1" s="9"/>
    <row r="182" ht="18" customFormat="1" customHeight="1" s="9"/>
    <row r="183" ht="18" customFormat="1" customHeight="1" s="9"/>
    <row r="184" ht="18" customFormat="1" customHeight="1" s="9"/>
    <row r="185" ht="18" customFormat="1" customHeight="1" s="9"/>
    <row r="186" ht="18" customFormat="1" customHeight="1" s="9"/>
    <row r="187" ht="18" customFormat="1" customHeight="1" s="9"/>
    <row r="188" ht="18" customFormat="1" customHeight="1" s="9"/>
    <row r="189" ht="18" customFormat="1" customHeight="1" s="9"/>
    <row r="190" ht="18" customFormat="1" customHeight="1" s="9"/>
    <row r="191" ht="18" customFormat="1" customHeight="1" s="9"/>
    <row r="192" ht="18" customFormat="1" customHeight="1" s="9"/>
    <row r="193" ht="18" customFormat="1" customHeight="1" s="9"/>
    <row r="194" ht="18" customFormat="1" customHeight="1" s="9"/>
    <row r="195" ht="18" customFormat="1" customHeight="1" s="9"/>
    <row r="196" ht="18" customFormat="1" customHeight="1" s="9"/>
    <row r="197" ht="18" customFormat="1" customHeight="1" s="9"/>
    <row r="198" ht="18" customFormat="1" customHeight="1" s="9"/>
    <row r="199" ht="18" customFormat="1" customHeight="1" s="9"/>
    <row r="200" ht="18" customFormat="1" customHeight="1" s="9"/>
    <row r="201" ht="18" customFormat="1" customHeight="1" s="9"/>
    <row r="202" ht="18" customFormat="1" customHeight="1" s="9"/>
    <row r="203" ht="18" customFormat="1" customHeight="1" s="9"/>
    <row r="204" ht="18" customFormat="1" customHeight="1" s="9"/>
    <row r="205" ht="18" customFormat="1" customHeight="1" s="9"/>
    <row r="206" ht="18" customFormat="1" customHeight="1" s="9"/>
    <row r="207" ht="18" customFormat="1" customHeight="1" s="9"/>
    <row r="208" ht="18" customFormat="1" customHeight="1" s="9"/>
    <row r="209" ht="18" customFormat="1" customHeight="1" s="9"/>
    <row r="210" ht="18" customFormat="1" customHeight="1" s="9"/>
    <row r="211" ht="18" customFormat="1" customHeight="1" s="9"/>
    <row r="212" ht="18" customFormat="1" customHeight="1" s="9"/>
    <row r="213" ht="18" customFormat="1" customHeight="1" s="9"/>
    <row r="214" ht="18" customFormat="1" customHeight="1" s="9"/>
    <row r="215" ht="18" customFormat="1" customHeight="1" s="9"/>
    <row r="216" ht="18" customFormat="1" customHeight="1" s="9"/>
    <row r="217" ht="18" customFormat="1" customHeight="1" s="9"/>
    <row r="218" ht="18" customFormat="1" customHeight="1" s="9"/>
    <row r="219" ht="18" customFormat="1" customHeight="1" s="9"/>
    <row r="220" ht="18" customFormat="1" customHeight="1" s="9"/>
    <row r="221" ht="18" customFormat="1" customHeight="1" s="9"/>
    <row r="222" ht="18" customFormat="1" customHeight="1" s="9"/>
    <row r="223" ht="18" customFormat="1" customHeight="1" s="9"/>
    <row r="224" ht="18" customFormat="1" customHeight="1" s="9"/>
    <row r="225" ht="18" customFormat="1" customHeight="1" s="9"/>
    <row r="226" ht="18" customFormat="1" customHeight="1" s="9"/>
    <row r="227" ht="18" customFormat="1" customHeight="1" s="9"/>
    <row r="228" ht="18" customFormat="1" customHeight="1" s="9"/>
    <row r="229" ht="18" customFormat="1" customHeight="1" s="9"/>
    <row r="230" ht="18" customFormat="1" customHeight="1" s="9"/>
    <row r="231" ht="18" customFormat="1" customHeight="1" s="9"/>
    <row r="232" ht="18" customFormat="1" customHeight="1" s="9"/>
    <row r="233" ht="18" customFormat="1" customHeight="1" s="9"/>
    <row r="234" ht="18" customFormat="1" customHeight="1" s="9"/>
    <row r="235" ht="18" customFormat="1" customHeight="1" s="9"/>
    <row r="236" ht="18" customFormat="1" customHeight="1" s="9"/>
    <row r="237" ht="18" customFormat="1" customHeight="1" s="9"/>
    <row r="238" ht="18" customFormat="1" customHeight="1" s="9"/>
    <row r="239" ht="18" customFormat="1" customHeight="1" s="9"/>
    <row r="240" ht="18" customFormat="1" customHeight="1" s="9"/>
    <row r="241" ht="18" customFormat="1" customHeight="1" s="9"/>
    <row r="242" ht="18" customFormat="1" customHeight="1" s="9"/>
    <row r="243" ht="18" customFormat="1" customHeight="1" s="9"/>
    <row r="244" ht="18" customFormat="1" customHeight="1" s="9"/>
    <row r="245" ht="18" customFormat="1" customHeight="1" s="9"/>
    <row r="246" ht="18" customFormat="1" customHeight="1" s="9"/>
    <row r="247" ht="18" customFormat="1" customHeight="1" s="9"/>
    <row r="248" ht="18" customFormat="1" customHeight="1" s="9"/>
    <row r="249" ht="18" customFormat="1" customHeight="1" s="9"/>
    <row r="250" ht="18" customFormat="1" customHeight="1" s="9"/>
    <row r="251" ht="18" customFormat="1" customHeight="1" s="9"/>
    <row r="252" ht="18" customFormat="1" customHeight="1" s="9"/>
    <row r="253" ht="18" customFormat="1" customHeight="1" s="9"/>
    <row r="254" ht="18" customFormat="1" customHeight="1" s="9"/>
    <row r="255" ht="18" customFormat="1" customHeight="1" s="9"/>
    <row r="256" ht="18" customFormat="1" customHeight="1" s="9"/>
    <row r="257" ht="18" customFormat="1" customHeight="1" s="9"/>
    <row r="258" ht="18" customFormat="1" customHeight="1" s="9"/>
    <row r="259" ht="18" customFormat="1" customHeight="1" s="9"/>
    <row r="260" ht="18" customFormat="1" customHeight="1" s="9"/>
    <row r="261" ht="18" customFormat="1" customHeight="1" s="9"/>
    <row r="262" ht="18" customFormat="1" customHeight="1" s="9"/>
    <row r="263" ht="18" customFormat="1" customHeight="1" s="9"/>
    <row r="264" ht="18" customFormat="1" customHeight="1" s="9"/>
    <row r="265" ht="18" customFormat="1" customHeight="1" s="9"/>
    <row r="266" ht="18" customFormat="1" customHeight="1" s="9"/>
    <row r="267" ht="18" customFormat="1" customHeight="1" s="9"/>
    <row r="268" ht="18" customFormat="1" customHeight="1" s="9"/>
    <row r="269" ht="18" customFormat="1" customHeight="1" s="9"/>
    <row r="270" ht="18" customFormat="1" customHeight="1" s="9"/>
    <row r="271" ht="18" customFormat="1" customHeight="1" s="9"/>
    <row r="272" ht="18" customFormat="1" customHeight="1" s="9"/>
    <row r="273" ht="18" customFormat="1" customHeight="1" s="9"/>
    <row r="274" ht="18" customFormat="1" customHeight="1" s="9"/>
    <row r="275" ht="18" customFormat="1" customHeight="1" s="9"/>
    <row r="276" ht="18" customFormat="1" customHeight="1" s="9"/>
    <row r="277" ht="18" customFormat="1" customHeight="1" s="9"/>
    <row r="278" ht="18" customFormat="1" customHeight="1" s="9"/>
    <row r="279" ht="18" customFormat="1" customHeight="1" s="9"/>
    <row r="280" ht="18" customFormat="1" customHeight="1" s="9"/>
    <row r="281" ht="18" customFormat="1" customHeight="1" s="9"/>
    <row r="282" ht="18" customFormat="1" customHeight="1" s="9"/>
    <row r="283" ht="18" customFormat="1" customHeight="1" s="9"/>
    <row r="284" ht="18" customFormat="1" customHeight="1" s="9"/>
    <row r="285" ht="18" customFormat="1" customHeight="1" s="9"/>
    <row r="286" ht="18" customFormat="1" customHeight="1" s="9"/>
    <row r="287" ht="18" customFormat="1" customHeight="1" s="9"/>
    <row r="288" ht="18" customFormat="1" customHeight="1" s="9"/>
    <row r="289" ht="18" customFormat="1" customHeight="1" s="9"/>
    <row r="290" ht="18" customFormat="1" customHeight="1" s="9"/>
    <row r="291" ht="18" customFormat="1" customHeight="1" s="9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B42" sqref="B42"/>
    </sheetView>
  </sheetViews>
  <sheetFormatPr baseColWidth="8" defaultRowHeight="14.5"/>
  <cols>
    <col width="32" customWidth="1" style="11" min="1" max="1"/>
    <col width="55" customWidth="1" style="11" min="2" max="2"/>
    <col width="28" customWidth="1" style="11" min="3" max="4"/>
    <col width="32" customWidth="1" style="11" min="4" max="4"/>
  </cols>
  <sheetData>
    <row r="1" ht="18" customHeight="1" s="11">
      <c r="A1" s="77" t="inlineStr">
        <is>
          <t>🤖  AI-PROWLER QUICK COMMAND REFERENCE</t>
        </is>
      </c>
      <c r="B1" s="77" t="n"/>
      <c r="C1" s="77" t="n"/>
      <c r="D1" s="77" t="n"/>
    </row>
    <row r="2" ht="52" customHeight="1" s="11">
      <c r="A2" s="75" t="inlineStr">
        <is>
          <t>Task</t>
        </is>
      </c>
      <c r="B2" s="76" t="inlineStr">
        <is>
          <t>Example Prompt for AI-Prowler</t>
        </is>
      </c>
      <c r="C2" s="75" t="inlineStr">
        <is>
          <t>Tool Used</t>
        </is>
      </c>
      <c r="D2" s="75" t="inlineStr">
        <is>
          <t>Sheet Updated</t>
        </is>
      </c>
    </row>
    <row r="3" ht="20" customHeight="1" s="11">
      <c r="A3" s="87" t="inlineStr">
        <is>
          <t>ROUTING &amp; MAPPING</t>
        </is>
      </c>
      <c r="B3" s="87" t="inlineStr"/>
      <c r="C3" s="87" t="inlineStr"/>
      <c r="D3" s="87" t="inlineStr"/>
    </row>
    <row r="4" ht="18" customHeight="1" s="11">
      <c r="A4" s="80" t="inlineStr">
        <is>
          <t>Geocode new customer address</t>
        </is>
      </c>
      <c r="B4" s="80" t="inlineStr">
        <is>
          <t>Geocode this address: 412 Pelican Dr, Daytona Beach FL 32118</t>
        </is>
      </c>
      <c r="C4" s="80" t="inlineStr">
        <is>
          <t>geocode_address</t>
        </is>
      </c>
      <c r="D4" s="80" t="inlineStr">
        <is>
          <t>Customers col L,M / Jobs_Schedule col I,J</t>
        </is>
      </c>
    </row>
    <row r="5" ht="18" customHeight="1" s="11">
      <c r="A5" s="80" t="inlineStr">
        <is>
          <t>Build route map URL</t>
        </is>
      </c>
      <c r="B5" s="80" t="inlineStr">
        <is>
          <t>Build a Google Maps URL for my Monday stops</t>
        </is>
      </c>
      <c r="C5" s="80" t="inlineStr">
        <is>
          <t>build_maps_url</t>
        </is>
      </c>
      <c r="D5" s="80" t="inlineStr">
        <is>
          <t>Route_Planner col R</t>
        </is>
      </c>
    </row>
    <row r="6" ht="18" customHeight="1" s="11">
      <c r="A6" s="80" t="inlineStr">
        <is>
          <t>Optimize stop order</t>
        </is>
      </c>
      <c r="B6" s="80" t="inlineStr">
        <is>
          <t>Optimize my route for Monday starting from 100 Main St, Daytona Beach</t>
        </is>
      </c>
      <c r="C6" s="80" t="inlineStr">
        <is>
          <t>optimize_route</t>
        </is>
      </c>
      <c r="D6" s="80" t="inlineStr">
        <is>
          <t>Route_Planner col C</t>
        </is>
      </c>
    </row>
    <row r="7" ht="20" customHeight="1" s="11">
      <c r="A7" s="87" t="inlineStr">
        <is>
          <t>SCHEDULING</t>
        </is>
      </c>
      <c r="B7" s="87" t="inlineStr"/>
      <c r="C7" s="87" t="inlineStr"/>
      <c r="D7" s="87" t="inlineStr"/>
    </row>
    <row r="8" ht="18" customHeight="1" s="11">
      <c r="A8" s="80" t="inlineStr">
        <is>
          <t>Schedule a new job</t>
        </is>
      </c>
      <c r="B8" s="80" t="inlineStr">
        <is>
          <t>Schedule window washing for CUST-0001 on 09/05/2026 at 8am</t>
        </is>
      </c>
      <c r="C8" s="80" t="inlineStr">
        <is>
          <t>update_job_spreadsheet</t>
        </is>
      </c>
      <c r="D8" s="80" t="inlineStr">
        <is>
          <t>Jobs_Schedule</t>
        </is>
      </c>
    </row>
    <row r="9" ht="18" customHeight="1" s="11">
      <c r="A9" s="80" t="inlineStr">
        <is>
          <t>Check weather before job</t>
        </is>
      </c>
      <c r="B9" s="80" t="inlineStr">
        <is>
          <t>What's the weather forecast for Daytona Beach on 09/05/2026?</t>
        </is>
      </c>
      <c r="C9" s="80" t="inlineStr">
        <is>
          <t>get_weather</t>
        </is>
      </c>
      <c r="D9" s="80" t="inlineStr">
        <is>
          <t>Jobs_Schedule col Y</t>
        </is>
      </c>
    </row>
    <row r="10" ht="18" customHeight="1" s="11">
      <c r="A10" s="80" t="inlineStr">
        <is>
          <t>List jobs for a date</t>
        </is>
      </c>
      <c r="B10" s="80" t="inlineStr">
        <is>
          <t>Show me all jobs scheduled for 09/05/2026</t>
        </is>
      </c>
      <c r="C10" s="80" t="inlineStr">
        <is>
          <t>read_job_spreadsheet</t>
        </is>
      </c>
      <c r="D10" s="80" t="inlineStr">
        <is>
          <t>Jobs_Schedule</t>
        </is>
      </c>
    </row>
    <row r="11" ht="18" customHeight="1" s="11">
      <c r="A11" s="80" t="inlineStr">
        <is>
          <t>Auto-book next recurring job</t>
        </is>
      </c>
      <c r="B11" s="80" t="inlineStr">
        <is>
          <t>Schedule the next recurring job after JOB-0001</t>
        </is>
      </c>
      <c r="C11" s="80" t="inlineStr">
        <is>
          <t>schedule_next_recurring_job</t>
        </is>
      </c>
      <c r="D11" s="80" t="inlineStr">
        <is>
          <t>Jobs_Schedule</t>
        </is>
      </c>
    </row>
    <row r="12" ht="20" customHeight="1" s="11">
      <c r="A12" s="87" t="inlineStr">
        <is>
          <t>INVOICING &amp; BILLING</t>
        </is>
      </c>
      <c r="B12" s="87" t="inlineStr"/>
      <c r="C12" s="87" t="inlineStr"/>
      <c r="D12" s="87" t="inlineStr"/>
    </row>
    <row r="13" ht="18" customHeight="1" s="11">
      <c r="A13" s="80" t="inlineStr">
        <is>
          <t>Create invoice from Jobs PWA</t>
        </is>
      </c>
      <c r="B13" s="80" t="inlineStr">
        <is>
          <t>Tap 🧾 Create Invoice on any unpaid job card in the Jobs app</t>
        </is>
      </c>
      <c r="C13" s="80" t="inlineStr">
        <is>
          <t>create_invoice (PWA)</t>
        </is>
      </c>
      <c r="D13" s="80" t="inlineStr">
        <is>
          <t>Invoices</t>
        </is>
      </c>
    </row>
    <row r="14" ht="18" customHeight="1" s="11">
      <c r="A14" s="80" t="inlineStr">
        <is>
          <t>Mark job complete</t>
        </is>
      </c>
      <c r="B14" s="80" t="inlineStr">
        <is>
          <t>Mark JOB-0001 as completed with actual duration 65 min</t>
        </is>
      </c>
      <c r="C14" s="80" t="inlineStr">
        <is>
          <t>update_job_spreadsheet</t>
        </is>
      </c>
      <c r="D14" s="80" t="inlineStr">
        <is>
          <t>Jobs_Schedule col U,V</t>
        </is>
      </c>
    </row>
    <row r="15" ht="18" customHeight="1" s="11">
      <c r="A15" s="80" t="inlineStr">
        <is>
          <t>Email invoice to customer</t>
        </is>
      </c>
      <c r="B15" s="80" t="inlineStr">
        <is>
          <t>Email the invoice for INV-0001 to Maria</t>
        </is>
      </c>
      <c r="C15" s="80" t="inlineStr">
        <is>
          <t>email_invoice</t>
        </is>
      </c>
      <c r="D15" s="80" t="inlineStr">
        <is>
          <t>Invoices / Email</t>
        </is>
      </c>
    </row>
    <row r="16" ht="18" customHeight="1" s="11">
      <c r="A16" s="80" t="inlineStr">
        <is>
          <t>Text invoice to customer</t>
        </is>
      </c>
      <c r="B16" s="80" t="inlineStr">
        <is>
          <t>Text the invoice for INV-0001 to Maria</t>
        </is>
      </c>
      <c r="C16" s="80" t="inlineStr">
        <is>
          <t>text_invoice</t>
        </is>
      </c>
      <c r="D16" s="80" t="inlineStr">
        <is>
          <t>Invoices / SMS</t>
        </is>
      </c>
    </row>
    <row r="17" ht="18" customHeight="1" s="11">
      <c r="A17" s="80" t="inlineStr">
        <is>
          <t>Send payment reminder email</t>
        </is>
      </c>
      <c r="B17" s="80" t="inlineStr">
        <is>
          <t>Send a payment reminder for INV-0001 to m.gonzalez@email.com</t>
        </is>
      </c>
      <c r="C17" s="80" t="inlineStr">
        <is>
          <t>send_email</t>
        </is>
      </c>
      <c r="D17" s="80" t="inlineStr">
        <is>
          <t>Invoices</t>
        </is>
      </c>
    </row>
    <row r="18" ht="18" customHeight="1" s="11">
      <c r="A18" s="80" t="inlineStr">
        <is>
          <t>AR aging report</t>
        </is>
      </c>
      <c r="B18" s="80" t="inlineStr">
        <is>
          <t>Show me all overdue unpaid invoices with days outstanding</t>
        </is>
      </c>
      <c r="C18" s="80" t="inlineStr">
        <is>
          <t>get_ar_aging_report</t>
        </is>
      </c>
      <c r="D18" s="80" t="inlineStr">
        <is>
          <t>Invoices (read)</t>
        </is>
      </c>
    </row>
    <row r="19" ht="18" customHeight="1" s="11">
      <c r="A19" s="80" t="inlineStr">
        <is>
          <t>Log cash / check payment</t>
        </is>
      </c>
      <c r="B19" s="80" t="inlineStr">
        <is>
          <t>Mark INV-0001 as paid by cash and send receipt to Maria</t>
        </is>
      </c>
      <c r="C19" s="80" t="inlineStr">
        <is>
          <t>email_receipt / text_receipt</t>
        </is>
      </c>
      <c r="D19" s="80" t="inlineStr">
        <is>
          <t>Invoices</t>
        </is>
      </c>
    </row>
    <row r="20" ht="20" customHeight="1" s="11">
      <c r="A20" s="87" t="inlineStr">
        <is>
          <t>CUSTOMER COMMUNICATION (SMS)</t>
        </is>
      </c>
      <c r="B20" s="87" t="inlineStr"/>
      <c r="C20" s="87" t="inlineStr"/>
      <c r="D20" s="87" t="inlineStr"/>
    </row>
    <row r="21" ht="18" customHeight="1" s="11">
      <c r="A21" s="80" t="inlineStr">
        <is>
          <t>Text customer 'on my way'</t>
        </is>
      </c>
      <c r="B21" s="80" t="inlineStr">
        <is>
          <t>Text Maria that Carlos is 20 minutes away</t>
        </is>
      </c>
      <c r="C21" s="80" t="inlineStr">
        <is>
          <t>send_sms</t>
        </is>
      </c>
      <c r="D21" s="80" t="inlineStr">
        <is>
          <t>Customers (reads Phone)</t>
        </is>
      </c>
    </row>
    <row r="22" ht="18" customHeight="1" s="11">
      <c r="A22" s="80" t="inlineStr">
        <is>
          <t>Send appointment reminder</t>
        </is>
      </c>
      <c r="B22" s="80" t="inlineStr">
        <is>
          <t>Text Maria a reminder for tomorrow 8am window cleaning</t>
        </is>
      </c>
      <c r="C22" s="80" t="inlineStr">
        <is>
          <t>send_sms</t>
        </is>
      </c>
      <c r="D22" s="80" t="inlineStr">
        <is>
          <t>Customers (reads Phone)</t>
        </is>
      </c>
    </row>
    <row r="23" ht="18" customHeight="1" s="11">
      <c r="A23" s="80" t="inlineStr">
        <is>
          <t>Send payment reminder text</t>
        </is>
      </c>
      <c r="B23" s="80" t="inlineStr">
        <is>
          <t>Text CUST-0001 that invoice INV-0001 is due</t>
        </is>
      </c>
      <c r="C23" s="80" t="inlineStr">
        <is>
          <t>send_sms</t>
        </is>
      </c>
      <c r="D23" s="80" t="inlineStr">
        <is>
          <t>Customers (reads Phone)</t>
        </is>
      </c>
    </row>
    <row r="24" ht="18" customHeight="1" s="11">
      <c r="A24" s="80" t="inlineStr">
        <is>
          <t>Request Google review</t>
        </is>
      </c>
      <c r="B24" s="80" t="inlineStr">
        <is>
          <t>Text Maria a review request after today's job</t>
        </is>
      </c>
      <c r="C24" s="80" t="inlineStr">
        <is>
          <t>send_sms</t>
        </is>
      </c>
      <c r="D24" s="80" t="inlineStr">
        <is>
          <t>Customers (reads Phone)</t>
        </is>
      </c>
    </row>
    <row r="25" ht="20" customHeight="1" s="11">
      <c r="A25" s="87" t="inlineStr">
        <is>
          <t>TIME TRACKING</t>
        </is>
      </c>
      <c r="B25" s="87" t="inlineStr"/>
      <c r="C25" s="87" t="inlineStr"/>
      <c r="D25" s="87" t="inlineStr"/>
    </row>
    <row r="26" ht="18" customHeight="1" s="11">
      <c r="A26" s="80" t="inlineStr">
        <is>
          <t>Clock in to a job</t>
        </is>
      </c>
      <c r="B26" s="80" t="inlineStr">
        <is>
          <t>Clock in for JOB-0001</t>
        </is>
      </c>
      <c r="C26" s="80" t="inlineStr">
        <is>
          <t>log_time_entry (start)</t>
        </is>
      </c>
      <c r="D26" s="80" t="inlineStr">
        <is>
          <t>TimeLog</t>
        </is>
      </c>
    </row>
    <row r="27" ht="18" customHeight="1" s="11">
      <c r="A27" s="80" t="inlineStr">
        <is>
          <t>Clock out of a job</t>
        </is>
      </c>
      <c r="B27" s="80" t="inlineStr">
        <is>
          <t>Clock out — I just finished Maria's windows</t>
        </is>
      </c>
      <c r="C27" s="80" t="inlineStr">
        <is>
          <t>log_time_entry (stop)</t>
        </is>
      </c>
      <c r="D27" s="80" t="inlineStr">
        <is>
          <t>TimeLog + Jobs_Schedule col U</t>
        </is>
      </c>
    </row>
    <row r="28" ht="20" customHeight="1" s="11">
      <c r="A28" s="87" t="inlineStr">
        <is>
          <t>CUSTOMER MANAGEMENT</t>
        </is>
      </c>
      <c r="B28" s="87" t="inlineStr"/>
      <c r="C28" s="87" t="inlineStr"/>
      <c r="D28" s="87" t="inlineStr"/>
    </row>
    <row r="29" ht="18" customHeight="1" s="11">
      <c r="A29" s="80" t="inlineStr">
        <is>
          <t>Look up customer</t>
        </is>
      </c>
      <c r="B29" s="80" t="inlineStr">
        <is>
          <t>Find the service history for CUST-0001</t>
        </is>
      </c>
      <c r="C29" s="80" t="inlineStr">
        <is>
          <t>read_job_spreadsheet</t>
        </is>
      </c>
      <c r="D29" s="80" t="inlineStr">
        <is>
          <t>Customers / Jobs_Schedule</t>
        </is>
      </c>
    </row>
    <row r="30" ht="18" customHeight="1" s="11">
      <c r="A30" s="80" t="inlineStr">
        <is>
          <t>Revenue report</t>
        </is>
      </c>
      <c r="B30" s="80" t="inlineStr">
        <is>
          <t>What is total revenue collected this month?</t>
        </is>
      </c>
      <c r="C30" s="80" t="inlineStr">
        <is>
          <t>get_ar_aging_report</t>
        </is>
      </c>
      <c r="D30" s="80" t="inlineStr">
        <is>
          <t>Invoices (read)</t>
        </is>
      </c>
    </row>
    <row r="31" ht="20" customHeight="1" s="11">
      <c r="A31" s="87" t="inlineStr">
        <is>
          <t>SYSTEM</t>
        </is>
      </c>
      <c r="B31" s="87" t="inlineStr"/>
      <c r="C31" s="87" t="inlineStr"/>
      <c r="D31" s="87" t="inlineStr"/>
    </row>
    <row r="32" ht="18" customHeight="1" s="11">
      <c r="A32" s="80" t="inlineStr">
        <is>
          <t>Full tool status check</t>
        </is>
      </c>
      <c r="B32" s="80" t="inlineStr">
        <is>
          <t>Check which AI-Prowler action tools are ready</t>
        </is>
      </c>
      <c r="C32" s="80" t="inlineStr">
        <is>
          <t>check_tools_status</t>
        </is>
      </c>
      <c r="D32" s="80" t="inlineStr">
        <is>
          <t>—</t>
        </is>
      </c>
    </row>
    <row r="33" ht="18" customHeight="1" s="11"/>
    <row r="34" ht="18" customHeight="1" s="11"/>
    <row r="35" ht="18" customHeight="1" s="11"/>
    <row r="36" ht="18" customHeight="1" s="11"/>
    <row r="37" ht="18" customHeight="1" s="11"/>
    <row r="38" ht="18" customHeight="1" s="11"/>
    <row r="39" ht="18" customHeight="1" s="11"/>
    <row r="40" ht="18" customHeight="1" s="11"/>
    <row r="41" ht="18" customHeight="1" s="11"/>
    <row r="42" ht="18" customHeight="1" s="11"/>
    <row r="43" ht="18" customHeight="1" s="11"/>
    <row r="44" ht="18" customHeight="1" s="11"/>
    <row r="45" ht="18" customHeight="1" s="11"/>
    <row r="46" ht="18" customHeight="1" s="11"/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2026-06-18T13:00:14Z</dcterms:created>
  <dcterms:modified xmlns:dcterms="http://purl.org/dc/terms/" xmlns:xsi="http://www.w3.org/2001/XMLSchema-instance" xsi:type="dcterms:W3CDTF">2026-08-26T07:49:32Z</dcterms:modified>
  <cp:lastModifiedBy>David Vavro</cp:lastModifiedBy>
</cp:coreProperties>
</file>