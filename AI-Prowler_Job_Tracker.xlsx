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Jobs_Schedule" sheetId="2" state="visible" r:id="rId2"/>
    <sheet xmlns:r="http://schemas.openxmlformats.org/officeDocument/2006/relationships" name="Route_Planner" sheetId="3" state="visible" r:id="rId3"/>
    <sheet xmlns:r="http://schemas.openxmlformats.org/officeDocument/2006/relationships" name="Quotes" sheetId="4" state="visible" r:id="rId4"/>
    <sheet xmlns:r="http://schemas.openxmlformats.org/officeDocument/2006/relationships" name="Invoices" sheetId="5" state="visible" r:id="rId5"/>
    <sheet xmlns:r="http://schemas.openxmlformats.org/officeDocument/2006/relationships" name="TimeLog" sheetId="6" state="visible" r:id="rId6"/>
    <sheet xmlns:r="http://schemas.openxmlformats.org/officeDocument/2006/relationships" name="Services_Pricing" sheetId="7" state="visible" r:id="rId7"/>
    <sheet xmlns:r="http://schemas.openxmlformats.org/officeDocument/2006/relationships" name="AI-Prowler_Command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00"/>
      <sz val="10"/>
    </font>
    <font>
      <name val="Arial"/>
      <i val="1"/>
      <color rgb="00595959"/>
      <sz val="10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2E74B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8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8" customWidth="1" min="3" max="3"/>
    <col width="18" customWidth="1" min="4" max="4"/>
    <col width="18" customWidth="1" min="5" max="5"/>
    <col width="14" customWidth="1" min="6" max="6"/>
    <col width="24" customWidth="1" min="7" max="7"/>
    <col width="18" customWidth="1" min="8" max="8"/>
    <col width="16" customWidth="1" min="9" max="9"/>
    <col width="6" customWidth="1" min="10" max="10"/>
    <col width="8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  <col width="12" customWidth="1" min="22" max="22"/>
    <col width="12" customWidth="1" min="23" max="23"/>
    <col width="10" customWidth="1" min="24" max="24"/>
    <col width="10" customWidth="1" min="25" max="25"/>
    <col width="20" customWidth="1" min="26" max="26"/>
    <col width="16" customWidth="1" min="27" max="27"/>
    <col width="12" customWidth="1" min="28" max="28"/>
  </cols>
  <sheetData>
    <row r="1" ht="20" customHeight="1">
      <c r="A1" s="1" t="inlineStr">
        <is>
          <t>🪟  AI-PROWLER JOB TRACKER — Customer Master List</t>
        </is>
      </c>
    </row>
    <row r="2" ht="45" customHeight="1">
      <c r="A2" s="2" t="inlineStr">
        <is>
          <t>CustomerID
(CUST-####)</t>
        </is>
      </c>
      <c r="B2" s="2" t="inlineStr">
        <is>
          <t>Customer
Type
Comm/Res</t>
        </is>
      </c>
      <c r="C2" s="2" t="inlineStr">
        <is>
          <t>Company
Name</t>
        </is>
      </c>
      <c r="D2" s="2" t="inlineStr">
        <is>
          <t>First
Name</t>
        </is>
      </c>
      <c r="E2" s="2" t="inlineStr">
        <is>
          <t>Last
Name</t>
        </is>
      </c>
      <c r="F2" s="2" t="inlineStr">
        <is>
          <t>Phone</t>
        </is>
      </c>
      <c r="G2" s="2" t="inlineStr">
        <is>
          <t>Email</t>
        </is>
      </c>
      <c r="H2" s="2" t="inlineStr">
        <is>
          <t>Street
Address
★ AI Route</t>
        </is>
      </c>
      <c r="I2" s="2" t="inlineStr">
        <is>
          <t>City
★ AI Route</t>
        </is>
      </c>
      <c r="J2" s="2" t="inlineStr">
        <is>
          <t>State</t>
        </is>
      </c>
      <c r="K2" s="2" t="inlineStr">
        <is>
          <t>ZIP
★ AI Route</t>
        </is>
      </c>
      <c r="L2" s="2" t="inlineStr">
        <is>
          <t>Latitude
(AI Geocode)</t>
        </is>
      </c>
      <c r="M2" s="2" t="inlineStr">
        <is>
          <t>Longitude
(AI Geocode)</t>
        </is>
      </c>
      <c r="N2" s="2" t="inlineStr">
        <is>
          <t>Service
Type(s)
Win/Press/Both</t>
        </is>
      </c>
      <c r="O2" s="2" t="inlineStr">
        <is>
          <t>Frequency
W/BW/M/Q/OT</t>
        </is>
      </c>
      <c r="P2" s="2" t="inlineStr">
        <is>
          <t>Preferred
Day(s)</t>
        </is>
      </c>
      <c r="Q2" s="2" t="inlineStr">
        <is>
          <t>Pref. Time
Window</t>
        </is>
      </c>
      <c r="R2" s="2" t="inlineStr">
        <is>
          <t>Avg Job
Duration
(min)</t>
        </is>
      </c>
      <c r="S2" s="2" t="inlineStr">
        <is>
          <t>Standard
Quote ($)</t>
        </is>
      </c>
      <c r="T2" s="2" t="inlineStr">
        <is>
          <t>Discount
(%)</t>
        </is>
      </c>
      <c r="U2" s="2" t="inlineStr">
        <is>
          <t>Net
Price ($)</t>
        </is>
      </c>
      <c r="V2" s="2" t="inlineStr">
        <is>
          <t>Last Service
Date</t>
        </is>
      </c>
      <c r="W2" s="2" t="inlineStr">
        <is>
          <t>Next Sched.
Date</t>
        </is>
      </c>
      <c r="X2" s="2" t="inlineStr">
        <is>
          <t>Total Jobs
Completed</t>
        </is>
      </c>
      <c r="Y2" s="2" t="inlineStr">
        <is>
          <t>Lifetime
Revenue ($)</t>
        </is>
      </c>
      <c r="Z2" s="2" t="inlineStr">
        <is>
          <t>Gate Code /
Access Notes</t>
        </is>
      </c>
      <c r="AA2" s="2" t="inlineStr">
        <is>
          <t>On-Site
Contact</t>
        </is>
      </c>
      <c r="AB2" s="2" t="inlineStr">
        <is>
          <t>Status
Active/Inactive</t>
        </is>
      </c>
    </row>
    <row r="3">
      <c r="A3" s="3" t="inlineStr">
        <is>
          <t>CUST-0001</t>
        </is>
      </c>
      <c r="B3" s="3" t="inlineStr">
        <is>
          <t>Commercial</t>
        </is>
      </c>
      <c r="C3" s="3" t="inlineStr">
        <is>
          <t>Sunshine Realty LLC</t>
        </is>
      </c>
      <c r="D3" s="3" t="inlineStr">
        <is>
          <t>Karen</t>
        </is>
      </c>
      <c r="E3" s="3" t="inlineStr">
        <is>
          <t>Walsh</t>
        </is>
      </c>
      <c r="F3" s="3" t="inlineStr">
        <is>
          <t>386-555-0101</t>
        </is>
      </c>
      <c r="G3" s="3" t="inlineStr">
        <is>
          <t>karen@sunshine.com</t>
        </is>
      </c>
      <c r="H3" s="3" t="inlineStr">
        <is>
          <t>125 Harbor Blvd</t>
        </is>
      </c>
      <c r="I3" s="3" t="inlineStr">
        <is>
          <t>New Smyrna Beach</t>
        </is>
      </c>
      <c r="J3" s="3" t="inlineStr">
        <is>
          <t>FL</t>
        </is>
      </c>
      <c r="K3" s="3" t="inlineStr">
        <is>
          <t>32168</t>
        </is>
      </c>
      <c r="N3" s="3" t="inlineStr">
        <is>
          <t>Both</t>
        </is>
      </c>
      <c r="O3" s="3" t="inlineStr">
        <is>
          <t>Monthly</t>
        </is>
      </c>
      <c r="P3" s="3" t="inlineStr">
        <is>
          <t>Mon,Wed</t>
        </is>
      </c>
      <c r="Q3" s="3" t="inlineStr">
        <is>
          <t>8am-5pm</t>
        </is>
      </c>
      <c r="R3" s="3" t="n">
        <v>90</v>
      </c>
      <c r="S3" s="3" t="n">
        <v>350</v>
      </c>
      <c r="T3" s="3" t="n">
        <v>0.1</v>
      </c>
      <c r="U3" s="4">
        <f>S3*(1-T3)</f>
        <v/>
      </c>
      <c r="Y3" s="4">
        <f>U3</f>
        <v/>
      </c>
      <c r="Z3" s="3" t="inlineStr">
        <is>
          <t>Gate code 4421</t>
        </is>
      </c>
      <c r="AA3" s="3" t="inlineStr">
        <is>
          <t>On-site mgr: Tom</t>
        </is>
      </c>
      <c r="AB3" s="3" t="inlineStr">
        <is>
          <t>Active</t>
        </is>
      </c>
    </row>
    <row r="4">
      <c r="A4" s="3" t="inlineStr">
        <is>
          <t>CUST-0002</t>
        </is>
      </c>
      <c r="B4" s="3" t="inlineStr">
        <is>
          <t>Residential</t>
        </is>
      </c>
      <c r="D4" s="3" t="inlineStr">
        <is>
          <t>Michael</t>
        </is>
      </c>
      <c r="E4" s="3" t="inlineStr">
        <is>
          <t>Torres</t>
        </is>
      </c>
      <c r="F4" s="3" t="inlineStr">
        <is>
          <t>386-555-0202</t>
        </is>
      </c>
      <c r="G4" s="3" t="inlineStr">
        <is>
          <t>mtorres@gmail.com</t>
        </is>
      </c>
      <c r="H4" s="3" t="inlineStr">
        <is>
          <t>47 Oceanview Dr</t>
        </is>
      </c>
      <c r="I4" s="3" t="inlineStr">
        <is>
          <t>Edgewater</t>
        </is>
      </c>
      <c r="J4" s="3" t="inlineStr">
        <is>
          <t>FL</t>
        </is>
      </c>
      <c r="K4" s="3" t="inlineStr">
        <is>
          <t>32141</t>
        </is>
      </c>
      <c r="N4" s="3" t="inlineStr">
        <is>
          <t>Window</t>
        </is>
      </c>
      <c r="O4" s="3" t="inlineStr">
        <is>
          <t>Quarterly</t>
        </is>
      </c>
      <c r="P4" s="3" t="inlineStr">
        <is>
          <t>Saturday</t>
        </is>
      </c>
      <c r="Q4" s="3" t="inlineStr">
        <is>
          <t>9am-12pm</t>
        </is>
      </c>
      <c r="R4" s="3" t="n">
        <v>60</v>
      </c>
      <c r="S4" s="3" t="n">
        <v>185</v>
      </c>
      <c r="T4" s="3" t="n">
        <v>0</v>
      </c>
      <c r="U4" s="4">
        <f>S4*(1-T4)</f>
        <v/>
      </c>
      <c r="Y4" s="4">
        <f>U4</f>
        <v/>
      </c>
      <c r="Z4" s="3" t="inlineStr">
        <is>
          <t>Side gate unlocked</t>
        </is>
      </c>
      <c r="AB4" s="3" t="inlineStr">
        <is>
          <t>Active</t>
        </is>
      </c>
    </row>
    <row r="5">
      <c r="A5" s="3" t="inlineStr">
        <is>
          <t>CUST-0003</t>
        </is>
      </c>
      <c r="B5" s="3" t="inlineStr">
        <is>
          <t>Commercial</t>
        </is>
      </c>
      <c r="C5" s="3" t="inlineStr">
        <is>
          <t>Blue Wave Cafe</t>
        </is>
      </c>
      <c r="D5" s="3" t="inlineStr">
        <is>
          <t>Jennifer</t>
        </is>
      </c>
      <c r="E5" s="3" t="inlineStr">
        <is>
          <t>Nguyen</t>
        </is>
      </c>
      <c r="F5" s="3" t="inlineStr">
        <is>
          <t>386-555-0303</t>
        </is>
      </c>
      <c r="G5" s="3" t="inlineStr">
        <is>
          <t>jnguyen@bluewavecafe.com</t>
        </is>
      </c>
      <c r="H5" s="3" t="inlineStr">
        <is>
          <t>810 Canal St</t>
        </is>
      </c>
      <c r="I5" s="3" t="inlineStr">
        <is>
          <t>New Smyrna Beach</t>
        </is>
      </c>
      <c r="J5" s="3" t="inlineStr">
        <is>
          <t>FL</t>
        </is>
      </c>
      <c r="K5" s="3" t="inlineStr">
        <is>
          <t>32168</t>
        </is>
      </c>
      <c r="N5" s="3" t="inlineStr">
        <is>
          <t>Window</t>
        </is>
      </c>
      <c r="O5" s="3" t="inlineStr">
        <is>
          <t>Monthly</t>
        </is>
      </c>
      <c r="P5" s="3" t="inlineStr">
        <is>
          <t>Tuesday</t>
        </is>
      </c>
      <c r="Q5" s="3" t="inlineStr">
        <is>
          <t>7am-9am</t>
        </is>
      </c>
      <c r="R5" s="3" t="n">
        <v>45</v>
      </c>
      <c r="S5" s="3" t="n">
        <v>220</v>
      </c>
      <c r="T5" s="3" t="n">
        <v>0.05</v>
      </c>
      <c r="U5" s="4">
        <f>S5*(1-T5)</f>
        <v/>
      </c>
      <c r="Y5" s="4">
        <f>U5</f>
        <v/>
      </c>
      <c r="Z5" s="3" t="inlineStr">
        <is>
          <t>Back entrance only</t>
        </is>
      </c>
      <c r="AA5" s="3" t="inlineStr">
        <is>
          <t>Mgr: Jennifer</t>
        </is>
      </c>
      <c r="AB5" s="3" t="inlineStr">
        <is>
          <t>Active</t>
        </is>
      </c>
    </row>
    <row r="6">
      <c r="A6" s="3" t="inlineStr">
        <is>
          <t>CUST-0004</t>
        </is>
      </c>
      <c r="B6" s="3" t="inlineStr">
        <is>
          <t>Residential</t>
        </is>
      </c>
      <c r="D6" s="3" t="inlineStr">
        <is>
          <t>Robert</t>
        </is>
      </c>
      <c r="E6" s="3" t="inlineStr">
        <is>
          <t>Martinez</t>
        </is>
      </c>
      <c r="F6" s="3" t="inlineStr">
        <is>
          <t>386-555-0404</t>
        </is>
      </c>
      <c r="G6" s="3" t="inlineStr">
        <is>
          <t>rmartinez@yahoo.com</t>
        </is>
      </c>
      <c r="H6" s="3" t="inlineStr">
        <is>
          <t>233 Pine Tree Rd</t>
        </is>
      </c>
      <c r="I6" s="3" t="inlineStr">
        <is>
          <t>Oak Hill</t>
        </is>
      </c>
      <c r="J6" s="3" t="inlineStr">
        <is>
          <t>FL</t>
        </is>
      </c>
      <c r="K6" s="3" t="inlineStr">
        <is>
          <t>32759</t>
        </is>
      </c>
      <c r="N6" s="3" t="inlineStr">
        <is>
          <t>Pressure</t>
        </is>
      </c>
      <c r="O6" s="3" t="inlineStr">
        <is>
          <t>Biweekly</t>
        </is>
      </c>
      <c r="P6" s="3" t="inlineStr">
        <is>
          <t>Thursday</t>
        </is>
      </c>
      <c r="Q6" s="3" t="inlineStr">
        <is>
          <t>10am-2pm</t>
        </is>
      </c>
      <c r="R6" s="3" t="n">
        <v>75</v>
      </c>
      <c r="S6" s="3" t="n">
        <v>160</v>
      </c>
      <c r="T6" s="3" t="n">
        <v>0</v>
      </c>
      <c r="U6" s="4">
        <f>S6*(1-T6)</f>
        <v/>
      </c>
      <c r="Y6" s="4">
        <f>U6</f>
        <v/>
      </c>
      <c r="Z6" s="3" t="inlineStr">
        <is>
          <t>Dog in yard - call ahead</t>
        </is>
      </c>
      <c r="AB6" s="3" t="inlineStr">
        <is>
          <t>Active</t>
        </is>
      </c>
    </row>
    <row r="7">
      <c r="A7" s="3" t="inlineStr">
        <is>
          <t>CUST-0005</t>
        </is>
      </c>
      <c r="B7" s="3" t="inlineStr">
        <is>
          <t>Commercial</t>
        </is>
      </c>
      <c r="C7" s="3" t="inlineStr">
        <is>
          <t>Harbor Inn Motel</t>
        </is>
      </c>
      <c r="D7" s="3" t="inlineStr">
        <is>
          <t>Sandra</t>
        </is>
      </c>
      <c r="E7" s="3" t="inlineStr">
        <is>
          <t>Kim</t>
        </is>
      </c>
      <c r="F7" s="3" t="inlineStr">
        <is>
          <t>386-555-0505</t>
        </is>
      </c>
      <c r="G7" s="3" t="inlineStr">
        <is>
          <t>sandra@harborinn.com</t>
        </is>
      </c>
      <c r="H7" s="3" t="inlineStr">
        <is>
          <t>500 N Dixie Fwy</t>
        </is>
      </c>
      <c r="I7" s="3" t="inlineStr">
        <is>
          <t>New Smyrna Beach</t>
        </is>
      </c>
      <c r="J7" s="3" t="inlineStr">
        <is>
          <t>FL</t>
        </is>
      </c>
      <c r="K7" s="3" t="inlineStr">
        <is>
          <t>32168</t>
        </is>
      </c>
      <c r="N7" s="3" t="inlineStr">
        <is>
          <t>Both</t>
        </is>
      </c>
      <c r="O7" s="3" t="inlineStr">
        <is>
          <t>Biweekly</t>
        </is>
      </c>
      <c r="P7" s="3" t="inlineStr">
        <is>
          <t>Mon,Thu</t>
        </is>
      </c>
      <c r="Q7" s="3" t="inlineStr">
        <is>
          <t>6am-10am</t>
        </is>
      </c>
      <c r="R7" s="3" t="n">
        <v>150</v>
      </c>
      <c r="S7" s="3" t="n">
        <v>625</v>
      </c>
      <c r="T7" s="3" t="n">
        <v>0.15</v>
      </c>
      <c r="U7" s="4">
        <f>S7*(1-T7)</f>
        <v/>
      </c>
      <c r="Y7" s="4">
        <f>U7</f>
        <v/>
      </c>
      <c r="Z7" s="3" t="inlineStr">
        <is>
          <t>Service entrance rear</t>
        </is>
      </c>
      <c r="AA7" s="3" t="inlineStr">
        <is>
          <t>GM: Brian</t>
        </is>
      </c>
      <c r="AB7" s="3" t="inlineStr">
        <is>
          <t>Active</t>
        </is>
      </c>
    </row>
    <row r="8">
      <c r="A8" s="3" t="inlineStr">
        <is>
          <t>CUST-0006</t>
        </is>
      </c>
      <c r="B8" s="3" t="inlineStr">
        <is>
          <t>Commercial</t>
        </is>
      </c>
      <c r="C8" s="3" t="inlineStr">
        <is>
          <t>Prospect Corp</t>
        </is>
      </c>
      <c r="I8" s="3" t="inlineStr">
        <is>
          <t>New Smyrna Beach</t>
        </is>
      </c>
      <c r="J8" s="3" t="inlineStr">
        <is>
          <t>FL</t>
        </is>
      </c>
      <c r="N8" s="3" t="inlineStr">
        <is>
          <t>Window</t>
        </is>
      </c>
      <c r="O8" s="3" t="inlineStr">
        <is>
          <t>One-time</t>
        </is>
      </c>
      <c r="AB8" s="3" t="inlineStr">
        <is>
          <t>Prospect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width="12" customWidth="1" min="4" max="4"/>
    <col width="18" customWidth="1" min="5" max="5"/>
    <col width="16" customWidth="1" min="6" max="6"/>
    <col width="7" customWidth="1" min="7" max="7"/>
    <col width="7" customWidth="1" min="8" max="8"/>
    <col width="12" customWidth="1" min="9" max="9"/>
    <col width="12" customWidth="1" min="10" max="10"/>
    <col width="12" customWidth="1" min="11" max="11"/>
    <col width="10" customWidth="1" min="12" max="12"/>
    <col width="8" customWidth="1" min="13" max="13"/>
    <col width="8" customWidth="1" min="14" max="14"/>
    <col width="9" customWidth="1" min="15" max="15"/>
    <col width="30" customWidth="1" min="16" max="16"/>
    <col width="12" customWidth="1" min="17" max="17"/>
    <col width="10" customWidth="1" min="18" max="18"/>
    <col width="10" customWidth="1" min="19" max="19"/>
    <col width="8" customWidth="1" min="20" max="20"/>
    <col width="14" customWidth="1" min="21" max="21"/>
    <col width="14" customWidth="1" min="22" max="22"/>
    <col width="11" customWidth="1" min="23" max="23"/>
    <col width="11" customWidth="1" min="24" max="24"/>
    <col width="11" customWidth="1" min="25" max="25"/>
    <col width="11" customWidth="1" min="26" max="26"/>
    <col width="9" customWidth="1" min="27" max="27"/>
    <col width="11" customWidth="1" min="28" max="28"/>
    <col width="12" customWidth="1" min="29" max="29"/>
    <col width="11" customWidth="1" min="30" max="30"/>
    <col width="13" customWidth="1" min="31" max="31"/>
    <col width="10" customWidth="1" min="32" max="32"/>
  </cols>
  <sheetData>
    <row r="1">
      <c r="A1" s="1" t="inlineStr">
        <is>
          <t>📅  JOBS &amp; SCHEDULE — All Service Appointments</t>
        </is>
      </c>
    </row>
    <row r="2" ht="45" customHeight="1">
      <c r="A2" s="2" t="inlineStr">
        <is>
          <t>JobID
(JOB-####)</t>
        </is>
      </c>
      <c r="B2" s="2" t="inlineStr">
        <is>
          <t>CustomerID
(Customers!A)</t>
        </is>
      </c>
      <c r="C2" s="2" t="inlineStr">
        <is>
          <t>Customer Name
/ Company</t>
        </is>
      </c>
      <c r="D2" s="2" t="inlineStr">
        <is>
          <t>Customer
Type</t>
        </is>
      </c>
      <c r="E2" s="2" t="inlineStr">
        <is>
          <t>Street Address
★ AI Route</t>
        </is>
      </c>
      <c r="F2" s="2" t="inlineStr">
        <is>
          <t>City
★ AI Route</t>
        </is>
      </c>
      <c r="G2" s="2" t="inlineStr">
        <is>
          <t>State</t>
        </is>
      </c>
      <c r="H2" s="2" t="inlineStr">
        <is>
          <t>ZIP
★ AI Route</t>
        </is>
      </c>
      <c r="I2" s="2" t="inlineStr">
        <is>
          <t>Latitude
(AI Geocode)</t>
        </is>
      </c>
      <c r="J2" s="2" t="inlineStr">
        <is>
          <t>Longitude
(AI Geocode)</t>
        </is>
      </c>
      <c r="K2" s="2" t="inlineStr">
        <is>
          <t>Service
Date</t>
        </is>
      </c>
      <c r="L2" s="2" t="inlineStr">
        <is>
          <t>Day of
Week</t>
        </is>
      </c>
      <c r="M2" s="2" t="inlineStr">
        <is>
          <t>Start
Time</t>
        </is>
      </c>
      <c r="N2" s="2" t="inlineStr">
        <is>
          <t>End
Time</t>
        </is>
      </c>
      <c r="O2" s="2" t="inlineStr">
        <is>
          <t>Service
Type</t>
        </is>
      </c>
      <c r="P2" s="2" t="inlineStr">
        <is>
          <t>Service
Details / Notes</t>
        </is>
      </c>
      <c r="Q2" s="2" t="inlineStr">
        <is>
          <t>Crew /
Technician</t>
        </is>
      </c>
      <c r="R2" s="2" t="inlineStr">
        <is>
          <t>Est.
Duration (min)</t>
        </is>
      </c>
      <c r="S2" s="2" t="inlineStr">
        <is>
          <t>Actual
Duration (min)</t>
        </is>
      </c>
      <c r="T2" s="2" t="inlineStr">
        <is>
          <t>Route
Stop #
★ AI Route</t>
        </is>
      </c>
      <c r="U2" s="2" t="inlineStr">
        <is>
          <t>Route
Map URL
★ AI Prowler</t>
        </is>
      </c>
      <c r="V2" s="2" t="inlineStr">
        <is>
          <t>Weather
Check
★ AI Prowler</t>
        </is>
      </c>
      <c r="W2" s="2" t="inlineStr">
        <is>
          <t>Job
Status</t>
        </is>
      </c>
      <c r="X2" s="2" t="inlineStr">
        <is>
          <t>Quote
Amount ($)</t>
        </is>
      </c>
      <c r="Y2" s="2" t="inlineStr">
        <is>
          <t>Actual
Amount ($)
=Quote-Discount</t>
        </is>
      </c>
      <c r="Z2" s="2" t="inlineStr">
        <is>
          <t>Discount
Applied ($)</t>
        </is>
      </c>
      <c r="AA2" s="2" t="inlineStr">
        <is>
          <t>Tax
(7%)</t>
        </is>
      </c>
      <c r="AB2" s="2" t="inlineStr">
        <is>
          <t>Invoice
Total ($)</t>
        </is>
      </c>
      <c r="AC2" s="2" t="inlineStr">
        <is>
          <t>Recurrence
(W/BW/M/Q/OT)</t>
        </is>
      </c>
      <c r="AD2" s="2" t="inlineStr">
        <is>
          <t>InvoiceID
(INV-####)</t>
        </is>
      </c>
      <c r="AE2" s="2" t="inlineStr">
        <is>
          <t>Invoice
Sent Date</t>
        </is>
      </c>
      <c r="AF2" s="2" t="inlineStr">
        <is>
          <t>Payment
Status</t>
        </is>
      </c>
    </row>
    <row r="3">
      <c r="A3" s="3" t="inlineStr">
        <is>
          <t>JOB-0001</t>
        </is>
      </c>
      <c r="B3" s="3" t="inlineStr">
        <is>
          <t>CUST-0001</t>
        </is>
      </c>
      <c r="C3" s="3" t="inlineStr">
        <is>
          <t>Sunshine Realty LLC</t>
        </is>
      </c>
      <c r="D3" s="3" t="inlineStr">
        <is>
          <t>Commercial</t>
        </is>
      </c>
      <c r="E3" s="3" t="inlineStr">
        <is>
          <t>125 Harbor Blvd</t>
        </is>
      </c>
      <c r="F3" s="3" t="inlineStr">
        <is>
          <t>New Smyrna Beach</t>
        </is>
      </c>
      <c r="G3" s="3" t="inlineStr">
        <is>
          <t>FL</t>
        </is>
      </c>
      <c r="H3" s="3" t="inlineStr">
        <is>
          <t>32168</t>
        </is>
      </c>
      <c r="K3" s="3" t="inlineStr">
        <is>
          <t>2026-03-30</t>
        </is>
      </c>
      <c r="L3" s="3" t="inlineStr">
        <is>
          <t>Monday</t>
        </is>
      </c>
      <c r="M3" s="3" t="inlineStr">
        <is>
          <t>08:00</t>
        </is>
      </c>
      <c r="N3" s="3" t="inlineStr">
        <is>
          <t>09:30</t>
        </is>
      </c>
      <c r="O3" s="3" t="inlineStr">
        <is>
          <t>Window</t>
        </is>
      </c>
      <c r="P3" s="3" t="inlineStr">
        <is>
          <t>Full exterior window cleaning — 12 windows</t>
        </is>
      </c>
      <c r="Q3" s="3" t="inlineStr">
        <is>
          <t>Mike C.</t>
        </is>
      </c>
      <c r="R3" s="3" t="n">
        <v>90</v>
      </c>
      <c r="T3" s="3" t="n">
        <v>1</v>
      </c>
      <c r="W3" s="3" t="inlineStr">
        <is>
          <t>Scheduled</t>
        </is>
      </c>
      <c r="X3" s="3" t="n">
        <v>350</v>
      </c>
      <c r="Y3" s="4">
        <f>X3-Z3</f>
        <v/>
      </c>
      <c r="Z3" s="3" t="n">
        <v>0</v>
      </c>
      <c r="AA3" s="4">
        <f>(X3-Z3)*0.07</f>
        <v/>
      </c>
      <c r="AB3" s="4">
        <f>Y3+AA3</f>
        <v/>
      </c>
      <c r="AC3" s="3" t="inlineStr">
        <is>
          <t>Monthly</t>
        </is>
      </c>
      <c r="AD3" s="3" t="inlineStr">
        <is>
          <t>INV-0001</t>
        </is>
      </c>
      <c r="AF3" s="3" t="inlineStr">
        <is>
          <t>Unpaid</t>
        </is>
      </c>
    </row>
    <row r="4">
      <c r="A4" s="3" t="inlineStr">
        <is>
          <t>JOB-0002</t>
        </is>
      </c>
      <c r="B4" s="3" t="inlineStr">
        <is>
          <t>CUST-0003</t>
        </is>
      </c>
      <c r="C4" s="3" t="inlineStr">
        <is>
          <t>Blue Wave Cafe</t>
        </is>
      </c>
      <c r="D4" s="3" t="inlineStr">
        <is>
          <t>Commercial</t>
        </is>
      </c>
      <c r="E4" s="3" t="inlineStr">
        <is>
          <t>810 Canal St</t>
        </is>
      </c>
      <c r="F4" s="3" t="inlineStr">
        <is>
          <t>New Smyrna Beach</t>
        </is>
      </c>
      <c r="G4" s="3" t="inlineStr">
        <is>
          <t>FL</t>
        </is>
      </c>
      <c r="H4" s="3" t="inlineStr">
        <is>
          <t>32168</t>
        </is>
      </c>
      <c r="K4" s="3" t="inlineStr">
        <is>
          <t>2026-03-30</t>
        </is>
      </c>
      <c r="L4" s="3" t="inlineStr">
        <is>
          <t>Monday</t>
        </is>
      </c>
      <c r="M4" s="3" t="inlineStr">
        <is>
          <t>10:00</t>
        </is>
      </c>
      <c r="N4" s="3" t="inlineStr">
        <is>
          <t>10:45</t>
        </is>
      </c>
      <c r="O4" s="3" t="inlineStr">
        <is>
          <t>Window</t>
        </is>
      </c>
      <c r="P4" s="3" t="inlineStr">
        <is>
          <t>Storefront glass — 3 panels inside &amp; out</t>
        </is>
      </c>
      <c r="Q4" s="3" t="inlineStr">
        <is>
          <t>Mike C.</t>
        </is>
      </c>
      <c r="R4" s="3" t="n">
        <v>45</v>
      </c>
      <c r="T4" s="3" t="n">
        <v>2</v>
      </c>
      <c r="W4" s="3" t="inlineStr">
        <is>
          <t>Scheduled</t>
        </is>
      </c>
      <c r="X4" s="3" t="n">
        <v>220</v>
      </c>
      <c r="Y4" s="4">
        <f>X4-Z4</f>
        <v/>
      </c>
      <c r="Z4" s="3" t="n">
        <v>0</v>
      </c>
      <c r="AA4" s="4">
        <f>(X4-Z4)*0.07</f>
        <v/>
      </c>
      <c r="AB4" s="4">
        <f>Y4+AA4</f>
        <v/>
      </c>
      <c r="AC4" s="3" t="inlineStr">
        <is>
          <t>Monthly</t>
        </is>
      </c>
      <c r="AD4" s="3" t="inlineStr">
        <is>
          <t>INV-0002</t>
        </is>
      </c>
      <c r="AF4" s="3" t="inlineStr">
        <is>
          <t>Unpaid</t>
        </is>
      </c>
    </row>
    <row r="5">
      <c r="A5" s="3" t="inlineStr">
        <is>
          <t>JOB-0003</t>
        </is>
      </c>
      <c r="B5" s="3" t="inlineStr">
        <is>
          <t>CUST-0005</t>
        </is>
      </c>
      <c r="C5" s="3" t="inlineStr">
        <is>
          <t>Harbor Inn Motel</t>
        </is>
      </c>
      <c r="D5" s="3" t="inlineStr">
        <is>
          <t>Commercial</t>
        </is>
      </c>
      <c r="E5" s="3" t="inlineStr">
        <is>
          <t>500 N Dixie Fwy</t>
        </is>
      </c>
      <c r="F5" s="3" t="inlineStr">
        <is>
          <t>New Smyrna Beach</t>
        </is>
      </c>
      <c r="G5" s="3" t="inlineStr">
        <is>
          <t>FL</t>
        </is>
      </c>
      <c r="H5" s="3" t="inlineStr">
        <is>
          <t>32168</t>
        </is>
      </c>
      <c r="K5" s="3" t="inlineStr">
        <is>
          <t>2026-03-30</t>
        </is>
      </c>
      <c r="L5" s="3" t="inlineStr">
        <is>
          <t>Monday</t>
        </is>
      </c>
      <c r="M5" s="3" t="inlineStr">
        <is>
          <t>11:30</t>
        </is>
      </c>
      <c r="N5" s="3" t="inlineStr">
        <is>
          <t>14:00</t>
        </is>
      </c>
      <c r="O5" s="3" t="inlineStr">
        <is>
          <t>Both</t>
        </is>
      </c>
      <c r="P5" s="3" t="inlineStr">
        <is>
          <t>All lobby windows + parking lot pressure wash</t>
        </is>
      </c>
      <c r="Q5" s="3" t="inlineStr">
        <is>
          <t>Mike C.</t>
        </is>
      </c>
      <c r="R5" s="3" t="n">
        <v>150</v>
      </c>
      <c r="T5" s="3" t="n">
        <v>3</v>
      </c>
      <c r="W5" s="3" t="inlineStr">
        <is>
          <t>Scheduled</t>
        </is>
      </c>
      <c r="X5" s="3" t="n">
        <v>625</v>
      </c>
      <c r="Y5" s="4">
        <f>X5-Z5</f>
        <v/>
      </c>
      <c r="Z5" s="3" t="n">
        <v>0</v>
      </c>
      <c r="AA5" s="4">
        <f>(X5-Z5)*0.07</f>
        <v/>
      </c>
      <c r="AB5" s="4">
        <f>Y5+AA5</f>
        <v/>
      </c>
      <c r="AC5" s="3" t="inlineStr">
        <is>
          <t>Biweekly</t>
        </is>
      </c>
      <c r="AD5" s="3" t="inlineStr">
        <is>
          <t>INV-0003</t>
        </is>
      </c>
      <c r="AF5" s="3" t="inlineStr">
        <is>
          <t>Unpaid</t>
        </is>
      </c>
    </row>
    <row r="6">
      <c r="A6" s="3" t="inlineStr">
        <is>
          <t>JOB-0004</t>
        </is>
      </c>
      <c r="B6" s="3" t="inlineStr">
        <is>
          <t>CUST-0002</t>
        </is>
      </c>
      <c r="C6" s="3" t="inlineStr">
        <is>
          <t>Michael Torres</t>
        </is>
      </c>
      <c r="D6" s="3" t="inlineStr">
        <is>
          <t>Residential</t>
        </is>
      </c>
      <c r="E6" s="3" t="inlineStr">
        <is>
          <t>47 Oceanview Dr</t>
        </is>
      </c>
      <c r="F6" s="3" t="inlineStr">
        <is>
          <t>Edgewater</t>
        </is>
      </c>
      <c r="G6" s="3" t="inlineStr">
        <is>
          <t>FL</t>
        </is>
      </c>
      <c r="H6" s="3" t="inlineStr">
        <is>
          <t>32141</t>
        </is>
      </c>
      <c r="K6" s="3" t="inlineStr">
        <is>
          <t>2026-04-01</t>
        </is>
      </c>
      <c r="L6" s="3" t="inlineStr">
        <is>
          <t>Wednesday</t>
        </is>
      </c>
      <c r="M6" s="3" t="inlineStr">
        <is>
          <t>09:00</t>
        </is>
      </c>
      <c r="N6" s="3" t="inlineStr">
        <is>
          <t>10:00</t>
        </is>
      </c>
      <c r="O6" s="3" t="inlineStr">
        <is>
          <t>Window</t>
        </is>
      </c>
      <c r="P6" s="3" t="inlineStr">
        <is>
          <t>Whole house exterior windows — 14 panes</t>
        </is>
      </c>
      <c r="Q6" s="3" t="inlineStr">
        <is>
          <t>Jake R.</t>
        </is>
      </c>
      <c r="R6" s="3" t="n">
        <v>60</v>
      </c>
      <c r="T6" s="3" t="n">
        <v>1</v>
      </c>
      <c r="W6" s="3" t="inlineStr">
        <is>
          <t>Scheduled</t>
        </is>
      </c>
      <c r="X6" s="3" t="n">
        <v>185</v>
      </c>
      <c r="Y6" s="4">
        <f>X6-Z6</f>
        <v/>
      </c>
      <c r="Z6" s="3" t="n">
        <v>0</v>
      </c>
      <c r="AA6" s="4">
        <f>(X6-Z6)*0.07</f>
        <v/>
      </c>
      <c r="AB6" s="4">
        <f>Y6+AA6</f>
        <v/>
      </c>
      <c r="AC6" s="3" t="inlineStr">
        <is>
          <t>Quarterly</t>
        </is>
      </c>
      <c r="AF6" s="3" t="inlineStr">
        <is>
          <t>Unpaid</t>
        </is>
      </c>
    </row>
    <row r="7">
      <c r="A7" s="3" t="inlineStr">
        <is>
          <t>JOB-0005</t>
        </is>
      </c>
      <c r="B7" s="3" t="inlineStr">
        <is>
          <t>CUST-0004</t>
        </is>
      </c>
      <c r="C7" s="3" t="inlineStr">
        <is>
          <t>Robert Martinez</t>
        </is>
      </c>
      <c r="D7" s="3" t="inlineStr">
        <is>
          <t>Residential</t>
        </is>
      </c>
      <c r="E7" s="3" t="inlineStr">
        <is>
          <t>233 Pine Tree Rd</t>
        </is>
      </c>
      <c r="F7" s="3" t="inlineStr">
        <is>
          <t>Oak Hill</t>
        </is>
      </c>
      <c r="G7" s="3" t="inlineStr">
        <is>
          <t>FL</t>
        </is>
      </c>
      <c r="H7" s="3" t="inlineStr">
        <is>
          <t>32759</t>
        </is>
      </c>
      <c r="K7" s="3" t="inlineStr">
        <is>
          <t>2026-04-01</t>
        </is>
      </c>
      <c r="L7" s="3" t="inlineStr">
        <is>
          <t>Wednesday</t>
        </is>
      </c>
      <c r="M7" s="3" t="inlineStr">
        <is>
          <t>11:00</t>
        </is>
      </c>
      <c r="N7" s="3" t="inlineStr">
        <is>
          <t>12:15</t>
        </is>
      </c>
      <c r="O7" s="3" t="inlineStr">
        <is>
          <t>Pressure</t>
        </is>
      </c>
      <c r="P7" s="3" t="inlineStr">
        <is>
          <t>Driveway + back patio pressure wash</t>
        </is>
      </c>
      <c r="Q7" s="3" t="inlineStr">
        <is>
          <t>Jake R.</t>
        </is>
      </c>
      <c r="R7" s="3" t="n">
        <v>75</v>
      </c>
      <c r="T7" s="3" t="n">
        <v>2</v>
      </c>
      <c r="W7" s="3" t="inlineStr">
        <is>
          <t>Scheduled</t>
        </is>
      </c>
      <c r="X7" s="3" t="n">
        <v>160</v>
      </c>
      <c r="Y7" s="4">
        <f>X7-Z7</f>
        <v/>
      </c>
      <c r="Z7" s="3" t="n">
        <v>0</v>
      </c>
      <c r="AA7" s="4">
        <f>(X7-Z7)*0.07</f>
        <v/>
      </c>
      <c r="AB7" s="4">
        <f>Y7+AA7</f>
        <v/>
      </c>
      <c r="AC7" s="3" t="inlineStr">
        <is>
          <t>Biweekly</t>
        </is>
      </c>
      <c r="AF7" s="3" t="inlineStr">
        <is>
          <t>Unpaid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🗺️  DAILY ROUTE PLANNER — AI-Prowler Route Optimization</t>
        </is>
      </c>
    </row>
    <row r="2">
      <c r="A2" s="5" t="inlineStr">
        <is>
          <t>★  Ask AI-Prowler: "Optimize my route for [DATE] and build a map URL for all stops"  → AI-Prowler will fill Lat/Lon, reorder stops, and generate the Google Maps waypoint URL</t>
        </is>
      </c>
    </row>
    <row r="3">
      <c r="A3" s="2" t="inlineStr">
        <is>
          <t>Route
Date</t>
        </is>
      </c>
      <c r="B3" s="2" t="inlineStr">
        <is>
          <t>Crew /
Technician</t>
        </is>
      </c>
      <c r="C3" s="2" t="inlineStr">
        <is>
          <t>Stop
#</t>
        </is>
      </c>
      <c r="D3" s="2" t="inlineStr">
        <is>
          <t>JobID</t>
        </is>
      </c>
      <c r="E3" s="2" t="inlineStr">
        <is>
          <t>CustomerID</t>
        </is>
      </c>
      <c r="F3" s="2" t="inlineStr">
        <is>
          <t>Customer Name
/ Company</t>
        </is>
      </c>
      <c r="G3" s="2" t="inlineStr">
        <is>
          <t>Street Address
★ AI Geocode</t>
        </is>
      </c>
      <c r="H3" s="2" t="inlineStr">
        <is>
          <t>City</t>
        </is>
      </c>
      <c r="I3" s="2" t="inlineStr">
        <is>
          <t>State</t>
        </is>
      </c>
      <c r="J3" s="2" t="inlineStr">
        <is>
          <t>ZIP</t>
        </is>
      </c>
      <c r="K3" s="2" t="inlineStr">
        <is>
          <t>Latitude
(AI Fill)</t>
        </is>
      </c>
      <c r="L3" s="2" t="inlineStr">
        <is>
          <t>Longitude
(AI Fill)</t>
        </is>
      </c>
      <c r="M3" s="2" t="inlineStr">
        <is>
          <t>Sched.
Arrival</t>
        </is>
      </c>
      <c r="N3" s="2" t="inlineStr">
        <is>
          <t>Sched.
Depart</t>
        </is>
      </c>
      <c r="O3" s="2" t="inlineStr">
        <is>
          <t>Drive Time
from Prev. (min)</t>
        </is>
      </c>
      <c r="P3" s="2" t="inlineStr">
        <is>
          <t>Service
Type</t>
        </is>
      </c>
      <c r="Q3" s="2" t="inlineStr">
        <is>
          <t>Duration
(min)</t>
        </is>
      </c>
      <c r="R3" s="2" t="inlineStr">
        <is>
          <t>Waypoint
Map URL
★ AI Prowler</t>
        </is>
      </c>
    </row>
    <row r="4">
      <c r="A4" s="3" t="inlineStr">
        <is>
          <t>2026-03-30</t>
        </is>
      </c>
      <c r="B4" s="3" t="inlineStr">
        <is>
          <t>Mike C.</t>
        </is>
      </c>
      <c r="C4" s="3" t="n">
        <v>1</v>
      </c>
      <c r="D4" s="3" t="inlineStr">
        <is>
          <t>JOB-0001</t>
        </is>
      </c>
      <c r="E4" s="3" t="inlineStr">
        <is>
          <t>CUST-0001</t>
        </is>
      </c>
      <c r="F4" s="3" t="inlineStr">
        <is>
          <t>Sunshine Realty LLC</t>
        </is>
      </c>
      <c r="G4" s="3" t="inlineStr">
        <is>
          <t>125 Harbor Blvd</t>
        </is>
      </c>
      <c r="H4" s="3" t="inlineStr">
        <is>
          <t>New Smyrna Beach</t>
        </is>
      </c>
      <c r="I4" s="3" t="inlineStr">
        <is>
          <t>FL</t>
        </is>
      </c>
      <c r="J4" s="3" t="inlineStr">
        <is>
          <t>32168</t>
        </is>
      </c>
      <c r="M4" s="3" t="inlineStr">
        <is>
          <t>08:00</t>
        </is>
      </c>
      <c r="N4" s="3" t="inlineStr">
        <is>
          <t>09:30</t>
        </is>
      </c>
      <c r="O4" s="3" t="inlineStr">
        <is>
          <t>—</t>
        </is>
      </c>
      <c r="P4" s="3" t="inlineStr">
        <is>
          <t>Window</t>
        </is>
      </c>
      <c r="Q4" s="3" t="n">
        <v>90</v>
      </c>
    </row>
    <row r="5">
      <c r="A5" s="3" t="inlineStr">
        <is>
          <t>2026-03-30</t>
        </is>
      </c>
      <c r="B5" s="3" t="inlineStr">
        <is>
          <t>Mike C.</t>
        </is>
      </c>
      <c r="C5" s="3" t="n">
        <v>2</v>
      </c>
      <c r="D5" s="3" t="inlineStr">
        <is>
          <t>JOB-0002</t>
        </is>
      </c>
      <c r="E5" s="3" t="inlineStr">
        <is>
          <t>CUST-0003</t>
        </is>
      </c>
      <c r="F5" s="3" t="inlineStr">
        <is>
          <t>Blue Wave Cafe</t>
        </is>
      </c>
      <c r="G5" s="3" t="inlineStr">
        <is>
          <t>810 Canal St</t>
        </is>
      </c>
      <c r="H5" s="3" t="inlineStr">
        <is>
          <t>New Smyrna Beach</t>
        </is>
      </c>
      <c r="I5" s="3" t="inlineStr">
        <is>
          <t>FL</t>
        </is>
      </c>
      <c r="J5" s="3" t="inlineStr">
        <is>
          <t>32168</t>
        </is>
      </c>
      <c r="M5" s="3" t="inlineStr">
        <is>
          <t>10:00</t>
        </is>
      </c>
      <c r="N5" s="3" t="inlineStr">
        <is>
          <t>10:45</t>
        </is>
      </c>
      <c r="O5" s="3" t="n">
        <v>12</v>
      </c>
      <c r="P5" s="3" t="inlineStr">
        <is>
          <t>Window</t>
        </is>
      </c>
      <c r="Q5" s="3" t="n">
        <v>45</v>
      </c>
    </row>
    <row r="6">
      <c r="A6" s="3" t="inlineStr">
        <is>
          <t>2026-03-30</t>
        </is>
      </c>
      <c r="B6" s="3" t="inlineStr">
        <is>
          <t>Mike C.</t>
        </is>
      </c>
      <c r="C6" s="3" t="n">
        <v>3</v>
      </c>
      <c r="D6" s="3" t="inlineStr">
        <is>
          <t>JOB-0003</t>
        </is>
      </c>
      <c r="E6" s="3" t="inlineStr">
        <is>
          <t>CUST-0005</t>
        </is>
      </c>
      <c r="F6" s="3" t="inlineStr">
        <is>
          <t>Harbor Inn Motel</t>
        </is>
      </c>
      <c r="G6" s="3" t="inlineStr">
        <is>
          <t>500 N Dixie Fwy</t>
        </is>
      </c>
      <c r="H6" s="3" t="inlineStr">
        <is>
          <t>New Smyrna Beach</t>
        </is>
      </c>
      <c r="I6" s="3" t="inlineStr">
        <is>
          <t>FL</t>
        </is>
      </c>
      <c r="J6" s="3" t="inlineStr">
        <is>
          <t>32168</t>
        </is>
      </c>
      <c r="M6" s="3" t="inlineStr">
        <is>
          <t>11:30</t>
        </is>
      </c>
      <c r="N6" s="3" t="inlineStr">
        <is>
          <t>14:00</t>
        </is>
      </c>
      <c r="O6" s="3" t="n">
        <v>20</v>
      </c>
      <c r="P6" s="3" t="inlineStr">
        <is>
          <t>Both</t>
        </is>
      </c>
      <c r="Q6" s="3" t="n">
        <v>150</v>
      </c>
    </row>
    <row r="7">
      <c r="A7" s="3" t="inlineStr">
        <is>
          <t>2026-04-01</t>
        </is>
      </c>
      <c r="B7" s="3" t="inlineStr">
        <is>
          <t>Jake R.</t>
        </is>
      </c>
      <c r="C7" s="3" t="n">
        <v>1</v>
      </c>
      <c r="D7" s="3" t="inlineStr">
        <is>
          <t>JOB-0004</t>
        </is>
      </c>
      <c r="E7" s="3" t="inlineStr">
        <is>
          <t>CUST-0002</t>
        </is>
      </c>
      <c r="F7" s="3" t="inlineStr">
        <is>
          <t>Michael Torres</t>
        </is>
      </c>
      <c r="G7" s="3" t="inlineStr">
        <is>
          <t>47 Oceanview Dr</t>
        </is>
      </c>
      <c r="H7" s="3" t="inlineStr">
        <is>
          <t>Edgewater</t>
        </is>
      </c>
      <c r="I7" s="3" t="inlineStr">
        <is>
          <t>FL</t>
        </is>
      </c>
      <c r="J7" s="3" t="inlineStr">
        <is>
          <t>32141</t>
        </is>
      </c>
      <c r="M7" s="3" t="inlineStr">
        <is>
          <t>09:00</t>
        </is>
      </c>
      <c r="N7" s="3" t="inlineStr">
        <is>
          <t>10:00</t>
        </is>
      </c>
      <c r="O7" s="3" t="inlineStr">
        <is>
          <t>—</t>
        </is>
      </c>
      <c r="P7" s="3" t="inlineStr">
        <is>
          <t>Window</t>
        </is>
      </c>
      <c r="Q7" s="3" t="n">
        <v>60</v>
      </c>
    </row>
    <row r="8">
      <c r="A8" s="3" t="inlineStr">
        <is>
          <t>2026-04-01</t>
        </is>
      </c>
      <c r="B8" s="3" t="inlineStr">
        <is>
          <t>Jake R.</t>
        </is>
      </c>
      <c r="C8" s="3" t="n">
        <v>2</v>
      </c>
      <c r="D8" s="3" t="inlineStr">
        <is>
          <t>JOB-0005</t>
        </is>
      </c>
      <c r="E8" s="3" t="inlineStr">
        <is>
          <t>CUST-0004</t>
        </is>
      </c>
      <c r="F8" s="3" t="inlineStr">
        <is>
          <t>Robert Martinez</t>
        </is>
      </c>
      <c r="G8" s="3" t="inlineStr">
        <is>
          <t>233 Pine Tree Rd</t>
        </is>
      </c>
      <c r="H8" s="3" t="inlineStr">
        <is>
          <t>Oak Hill</t>
        </is>
      </c>
      <c r="I8" s="3" t="inlineStr">
        <is>
          <t>FL</t>
        </is>
      </c>
      <c r="J8" s="3" t="inlineStr">
        <is>
          <t>32759</t>
        </is>
      </c>
      <c r="M8" s="3" t="inlineStr">
        <is>
          <t>11:00</t>
        </is>
      </c>
      <c r="N8" s="3" t="inlineStr">
        <is>
          <t>12:15</t>
        </is>
      </c>
      <c r="O8" s="3" t="n">
        <v>28</v>
      </c>
      <c r="P8" s="3" t="inlineStr">
        <is>
          <t>Pressure</t>
        </is>
      </c>
      <c r="Q8" s="3" t="n">
        <v>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💰  QUOTES — Estimates Sent to Customers</t>
        </is>
      </c>
    </row>
    <row r="2">
      <c r="A2" s="2" t="inlineStr">
        <is>
          <t>QuoteID
(QTE-####)</t>
        </is>
      </c>
      <c r="B2" s="2" t="inlineStr">
        <is>
          <t>CustomerID</t>
        </is>
      </c>
      <c r="C2" s="2" t="inlineStr">
        <is>
          <t>Customer Name
/ Company</t>
        </is>
      </c>
      <c r="D2" s="2" t="inlineStr">
        <is>
          <t>Customer
Type</t>
        </is>
      </c>
      <c r="E2" s="2" t="inlineStr">
        <is>
          <t>Address</t>
        </is>
      </c>
      <c r="F2" s="2" t="inlineStr">
        <is>
          <t>City</t>
        </is>
      </c>
      <c r="G2" s="2" t="inlineStr">
        <is>
          <t>Quote
Date</t>
        </is>
      </c>
      <c r="H2" s="2" t="inlineStr">
        <is>
          <t>Valid
Until</t>
        </is>
      </c>
      <c r="I2" s="2" t="inlineStr">
        <is>
          <t>Service
Type</t>
        </is>
      </c>
      <c r="J2" s="2" t="inlineStr">
        <is>
          <t>Service
Description</t>
        </is>
      </c>
      <c r="K2" s="2" t="inlineStr">
        <is>
          <t>Sq Ft /
Units</t>
        </is>
      </c>
      <c r="L2" s="2" t="inlineStr">
        <is>
          <t>Unit
Price ($)</t>
        </is>
      </c>
      <c r="M2" s="2" t="inlineStr">
        <is>
          <t>Labor
Cost ($)</t>
        </is>
      </c>
      <c r="N2" s="2" t="inlineStr">
        <is>
          <t>Materials
($)</t>
        </is>
      </c>
      <c r="O2" s="2" t="inlineStr">
        <is>
          <t>Subtotal
($)</t>
        </is>
      </c>
      <c r="P2" s="2" t="inlineStr">
        <is>
          <t>Discount
(%)</t>
        </is>
      </c>
      <c r="Q2" s="2" t="inlineStr">
        <is>
          <t>Discount
Amt ($)</t>
        </is>
      </c>
      <c r="R2" s="2" t="inlineStr">
        <is>
          <t>Tax (7%)
($)</t>
        </is>
      </c>
      <c r="S2" s="2" t="inlineStr">
        <is>
          <t>QUOTE
TOTAL ($)</t>
        </is>
      </c>
      <c r="T2" s="2" t="inlineStr">
        <is>
          <t>Status
(Open/Approved/Declined)</t>
        </is>
      </c>
    </row>
    <row r="3">
      <c r="A3" s="3" t="inlineStr">
        <is>
          <t>QTE-0001</t>
        </is>
      </c>
      <c r="B3" s="3" t="inlineStr">
        <is>
          <t>CUST-0001</t>
        </is>
      </c>
      <c r="C3" s="3" t="inlineStr">
        <is>
          <t>Sunshine Realty LLC</t>
        </is>
      </c>
      <c r="D3" s="3" t="inlineStr">
        <is>
          <t>Commercial</t>
        </is>
      </c>
      <c r="E3" s="3" t="inlineStr">
        <is>
          <t>125 Harbor Blvd</t>
        </is>
      </c>
      <c r="F3" s="3" t="inlineStr">
        <is>
          <t>New Smyrna Beach</t>
        </is>
      </c>
      <c r="G3" s="3" t="inlineStr">
        <is>
          <t>2026-03-25</t>
        </is>
      </c>
      <c r="H3" s="3" t="inlineStr">
        <is>
          <t>2026-04-25</t>
        </is>
      </c>
      <c r="I3" s="3" t="inlineStr">
        <is>
          <t>Window</t>
        </is>
      </c>
      <c r="J3" s="3" t="inlineStr">
        <is>
          <t>Full exterior window cleaning 12 windows</t>
        </is>
      </c>
      <c r="K3" s="3" t="n">
        <v>12</v>
      </c>
      <c r="L3" s="3" t="n">
        <v>25</v>
      </c>
      <c r="M3" s="3" t="n">
        <v>200</v>
      </c>
      <c r="N3" s="3" t="n">
        <v>0</v>
      </c>
      <c r="O3" s="4">
        <f>K3*L3+M3+N3</f>
        <v/>
      </c>
      <c r="P3" s="3" t="n">
        <v>0.1</v>
      </c>
      <c r="Q3" s="4">
        <f>O3*P3</f>
        <v/>
      </c>
      <c r="R3" s="4">
        <f>(O3-Q3)*0.07</f>
        <v/>
      </c>
      <c r="S3" s="4">
        <f>O3-Q3+R3</f>
        <v/>
      </c>
      <c r="T3" s="3" t="inlineStr">
        <is>
          <t>Open</t>
        </is>
      </c>
    </row>
    <row r="4">
      <c r="A4" s="3" t="inlineStr">
        <is>
          <t>QTE-0002</t>
        </is>
      </c>
      <c r="B4" s="3" t="inlineStr">
        <is>
          <t>CUST-0002</t>
        </is>
      </c>
      <c r="C4" s="3" t="inlineStr">
        <is>
          <t>Michael Torres</t>
        </is>
      </c>
      <c r="D4" s="3" t="inlineStr">
        <is>
          <t>Residential</t>
        </is>
      </c>
      <c r="E4" s="3" t="inlineStr">
        <is>
          <t>47 Oceanview Dr</t>
        </is>
      </c>
      <c r="F4" s="3" t="inlineStr">
        <is>
          <t>Edgewater</t>
        </is>
      </c>
      <c r="G4" s="3" t="inlineStr">
        <is>
          <t>2026-03-26</t>
        </is>
      </c>
      <c r="H4" s="3" t="inlineStr">
        <is>
          <t>2026-04-26</t>
        </is>
      </c>
      <c r="I4" s="3" t="inlineStr">
        <is>
          <t>Window</t>
        </is>
      </c>
      <c r="J4" s="3" t="inlineStr">
        <is>
          <t>Whole house exterior 14 panes</t>
        </is>
      </c>
      <c r="K4" s="3" t="n">
        <v>14</v>
      </c>
      <c r="L4" s="3" t="n">
        <v>12</v>
      </c>
      <c r="M4" s="3" t="n">
        <v>100</v>
      </c>
      <c r="N4" s="3" t="n">
        <v>0</v>
      </c>
      <c r="O4" s="4">
        <f>K4*L4+M4+N4</f>
        <v/>
      </c>
      <c r="P4" s="3" t="n">
        <v>0</v>
      </c>
      <c r="Q4" s="4">
        <f>O4*P4</f>
        <v/>
      </c>
      <c r="R4" s="4">
        <f>(O4-Q4)*0.07</f>
        <v/>
      </c>
      <c r="S4" s="4">
        <f>O4-Q4+R4</f>
        <v/>
      </c>
      <c r="T4" s="3" t="inlineStr">
        <is>
          <t>Approved</t>
        </is>
      </c>
    </row>
    <row r="5">
      <c r="A5" s="3" t="inlineStr">
        <is>
          <t>QTE-0003</t>
        </is>
      </c>
      <c r="B5" s="3" t="inlineStr">
        <is>
          <t>CUST-0006</t>
        </is>
      </c>
      <c r="C5" s="3" t="inlineStr">
        <is>
          <t>Prospect Corp</t>
        </is>
      </c>
      <c r="D5" s="3" t="inlineStr">
        <is>
          <t>Commercial</t>
        </is>
      </c>
      <c r="E5" s="3" t="inlineStr">
        <is>
          <t>TBD</t>
        </is>
      </c>
      <c r="F5" s="3" t="inlineStr">
        <is>
          <t>New Smyrna Beach</t>
        </is>
      </c>
      <c r="G5" s="3" t="inlineStr">
        <is>
          <t>2026-03-27</t>
        </is>
      </c>
      <c r="H5" s="3" t="inlineStr">
        <is>
          <t>2026-04-27</t>
        </is>
      </c>
      <c r="I5" s="3" t="inlineStr">
        <is>
          <t>Both</t>
        </is>
      </c>
      <c r="J5" s="3" t="inlineStr">
        <is>
          <t>Office building windows + parking lot pressure</t>
        </is>
      </c>
      <c r="K5" s="3" t="n">
        <v>1</v>
      </c>
      <c r="L5" s="3" t="n">
        <v>800</v>
      </c>
      <c r="M5" s="3" t="n">
        <v>350</v>
      </c>
      <c r="N5" s="3" t="n">
        <v>75</v>
      </c>
      <c r="O5" s="4">
        <f>K5*L5+M5+N5</f>
        <v/>
      </c>
      <c r="P5" s="3" t="n">
        <v>0.1</v>
      </c>
      <c r="Q5" s="4">
        <f>O5*P5</f>
        <v/>
      </c>
      <c r="R5" s="4">
        <f>(O5-Q5)*0.07</f>
        <v/>
      </c>
      <c r="S5" s="4">
        <f>O5-Q5+R5</f>
        <v/>
      </c>
      <c r="T5" s="3" t="inlineStr">
        <is>
          <t>Open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🧾  INVOICES — Billing &amp; Payment Tracking</t>
        </is>
      </c>
    </row>
    <row r="2">
      <c r="A2" s="2" t="inlineStr">
        <is>
          <t>InvoiceID
(INV-####)</t>
        </is>
      </c>
      <c r="B2" s="2" t="inlineStr">
        <is>
          <t>JobID
(JOB-####)</t>
        </is>
      </c>
      <c r="C2" s="2" t="inlineStr">
        <is>
          <t>CustomerID</t>
        </is>
      </c>
      <c r="D2" s="2" t="inlineStr">
        <is>
          <t>Customer Name
/ Company</t>
        </is>
      </c>
      <c r="E2" s="2" t="inlineStr">
        <is>
          <t>Customer
Type</t>
        </is>
      </c>
      <c r="F2" s="2" t="inlineStr">
        <is>
          <t>Invoice
Date</t>
        </is>
      </c>
      <c r="G2" s="2" t="inlineStr">
        <is>
          <t>Due
Date
(Net 30)</t>
        </is>
      </c>
      <c r="H2" s="2" t="inlineStr">
        <is>
          <t>Service
Date</t>
        </is>
      </c>
      <c r="I2" s="2" t="inlineStr">
        <is>
          <t>Service
Type</t>
        </is>
      </c>
      <c r="J2" s="2" t="inlineStr">
        <is>
          <t>Description</t>
        </is>
      </c>
      <c r="K2" s="2" t="inlineStr">
        <is>
          <t>Subtotal
($)</t>
        </is>
      </c>
      <c r="L2" s="2" t="inlineStr">
        <is>
          <t>Discount
($)</t>
        </is>
      </c>
      <c r="M2" s="2" t="inlineStr">
        <is>
          <t>Taxable
Amt ($)
=K-L</t>
        </is>
      </c>
      <c r="N2" s="2" t="inlineStr">
        <is>
          <t>Tax 7%
($)
=M*0.07</t>
        </is>
      </c>
      <c r="O2" s="2" t="inlineStr">
        <is>
          <t>TOTAL
DUE ($)
=M+N</t>
        </is>
      </c>
      <c r="P2" s="2" t="inlineStr">
        <is>
          <t>Amount
Paid ($)</t>
        </is>
      </c>
      <c r="Q2" s="2" t="inlineStr">
        <is>
          <t>Balance
Due ($)
=O-P</t>
        </is>
      </c>
      <c r="R2" s="2" t="inlineStr">
        <is>
          <t>Payment
Status</t>
        </is>
      </c>
      <c r="S2" s="2" t="inlineStr">
        <is>
          <t>Payment
Date</t>
        </is>
      </c>
      <c r="T2" s="2" t="inlineStr">
        <is>
          <t>Payment
Method</t>
        </is>
      </c>
      <c r="U2" s="2" t="inlineStr">
        <is>
          <t>Days
Overdue
(AI-AR)</t>
        </is>
      </c>
    </row>
    <row r="3">
      <c r="A3" s="3" t="inlineStr">
        <is>
          <t>INV-0001</t>
        </is>
      </c>
      <c r="B3" s="3" t="inlineStr">
        <is>
          <t>JOB-0001</t>
        </is>
      </c>
      <c r="C3" s="3" t="inlineStr">
        <is>
          <t>CUST-0001</t>
        </is>
      </c>
      <c r="D3" s="3" t="inlineStr">
        <is>
          <t>Sunshine Realty LLC</t>
        </is>
      </c>
      <c r="E3" s="3" t="inlineStr">
        <is>
          <t>Commercial</t>
        </is>
      </c>
      <c r="F3" s="3" t="inlineStr">
        <is>
          <t>2026-03-30</t>
        </is>
      </c>
      <c r="G3" s="3" t="inlineStr">
        <is>
          <t>2026-04-29</t>
        </is>
      </c>
      <c r="H3" s="3" t="inlineStr">
        <is>
          <t>2026-03-30</t>
        </is>
      </c>
      <c r="I3" s="3" t="inlineStr">
        <is>
          <t>Window</t>
        </is>
      </c>
      <c r="J3" s="3" t="inlineStr">
        <is>
          <t>Exterior window cleaning — 12 windows</t>
        </is>
      </c>
      <c r="K3" s="3" t="n">
        <v>350</v>
      </c>
      <c r="L3" s="3" t="n">
        <v>35</v>
      </c>
      <c r="M3" s="4">
        <f>K3-L3</f>
        <v/>
      </c>
      <c r="N3" s="4">
        <f>M3*0.07</f>
        <v/>
      </c>
      <c r="O3" s="4">
        <f>M3+N3</f>
        <v/>
      </c>
      <c r="P3" s="3" t="n">
        <v>0</v>
      </c>
      <c r="Q3" s="4">
        <f>O3-P3</f>
        <v/>
      </c>
      <c r="R3" s="3" t="inlineStr">
        <is>
          <t>Unpaid</t>
        </is>
      </c>
      <c r="U3" s="4">
        <f>IF(R3="Paid",0,IF(TODAY()&gt;G3,TODAY()-G3,0))</f>
        <v/>
      </c>
    </row>
    <row r="4">
      <c r="A4" s="3" t="inlineStr">
        <is>
          <t>INV-0002</t>
        </is>
      </c>
      <c r="B4" s="3" t="inlineStr">
        <is>
          <t>JOB-0002</t>
        </is>
      </c>
      <c r="C4" s="3" t="inlineStr">
        <is>
          <t>CUST-0003</t>
        </is>
      </c>
      <c r="D4" s="3" t="inlineStr">
        <is>
          <t>Blue Wave Cafe</t>
        </is>
      </c>
      <c r="E4" s="3" t="inlineStr">
        <is>
          <t>Commercial</t>
        </is>
      </c>
      <c r="F4" s="3" t="inlineStr">
        <is>
          <t>2026-03-30</t>
        </is>
      </c>
      <c r="G4" s="3" t="inlineStr">
        <is>
          <t>2026-04-29</t>
        </is>
      </c>
      <c r="H4" s="3" t="inlineStr">
        <is>
          <t>2026-03-30</t>
        </is>
      </c>
      <c r="I4" s="3" t="inlineStr">
        <is>
          <t>Window</t>
        </is>
      </c>
      <c r="J4" s="3" t="inlineStr">
        <is>
          <t>Storefront glass cleaning — 3 panels</t>
        </is>
      </c>
      <c r="K4" s="3" t="n">
        <v>220</v>
      </c>
      <c r="L4" s="3" t="n">
        <v>11</v>
      </c>
      <c r="M4" s="4">
        <f>K4-L4</f>
        <v/>
      </c>
      <c r="N4" s="4">
        <f>M4*0.07</f>
        <v/>
      </c>
      <c r="O4" s="4">
        <f>M4+N4</f>
        <v/>
      </c>
      <c r="P4" s="3" t="n">
        <v>0</v>
      </c>
      <c r="Q4" s="4">
        <f>O4-P4</f>
        <v/>
      </c>
      <c r="R4" s="3" t="inlineStr">
        <is>
          <t>Unpaid</t>
        </is>
      </c>
      <c r="U4" s="4">
        <f>IF(R4="Paid",0,IF(TODAY()&gt;G4,TODAY()-G4,0))</f>
        <v/>
      </c>
    </row>
    <row r="5">
      <c r="A5" s="3" t="inlineStr">
        <is>
          <t>INV-0003</t>
        </is>
      </c>
      <c r="B5" s="3" t="inlineStr">
        <is>
          <t>JOB-0003</t>
        </is>
      </c>
      <c r="C5" s="3" t="inlineStr">
        <is>
          <t>CUST-0005</t>
        </is>
      </c>
      <c r="D5" s="3" t="inlineStr">
        <is>
          <t>Harbor Inn Motel</t>
        </is>
      </c>
      <c r="E5" s="3" t="inlineStr">
        <is>
          <t>Commercial</t>
        </is>
      </c>
      <c r="F5" s="3" t="inlineStr">
        <is>
          <t>2026-03-30</t>
        </is>
      </c>
      <c r="G5" s="3" t="inlineStr">
        <is>
          <t>2026-04-29</t>
        </is>
      </c>
      <c r="H5" s="3" t="inlineStr">
        <is>
          <t>2026-03-30</t>
        </is>
      </c>
      <c r="I5" s="3" t="inlineStr">
        <is>
          <t>Both</t>
        </is>
      </c>
      <c r="J5" s="3" t="inlineStr">
        <is>
          <t>Lobby windows + parking lot pressure wash</t>
        </is>
      </c>
      <c r="K5" s="3" t="n">
        <v>625</v>
      </c>
      <c r="L5" s="3" t="n">
        <v>93.75</v>
      </c>
      <c r="M5" s="4">
        <f>K5-L5</f>
        <v/>
      </c>
      <c r="N5" s="4">
        <f>M5*0.07</f>
        <v/>
      </c>
      <c r="O5" s="4">
        <f>M5+N5</f>
        <v/>
      </c>
      <c r="P5" s="3" t="n">
        <v>0</v>
      </c>
      <c r="Q5" s="4">
        <f>O5-P5</f>
        <v/>
      </c>
      <c r="R5" s="3" t="inlineStr">
        <is>
          <t>Unpaid</t>
        </is>
      </c>
      <c r="U5" s="4">
        <f>IF(R5="Paid",0,IF(TODAY()&gt;G5,TODAY()-G5,0))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⏱️  TIME LOG — Job Clock In / Clock Out</t>
        </is>
      </c>
    </row>
    <row r="2">
      <c r="A2" s="2" t="inlineStr">
        <is>
          <t>EntryID</t>
        </is>
      </c>
      <c r="B2" s="2" t="inlineStr">
        <is>
          <t>JobID</t>
        </is>
      </c>
      <c r="C2" s="2" t="inlineStr">
        <is>
          <t>Customer Name / Company</t>
        </is>
      </c>
      <c r="D2" s="2" t="inlineStr">
        <is>
          <t>Date</t>
        </is>
      </c>
      <c r="E2" s="2" t="inlineStr">
        <is>
          <t>Clock In
(HH:MM:SS)</t>
        </is>
      </c>
      <c r="F2" s="2" t="inlineStr">
        <is>
          <t>Clock Out
(HH:MM:SS)</t>
        </is>
      </c>
      <c r="G2" s="2" t="inlineStr">
        <is>
          <t>Elapsed
(min)
=(Out-In)*1440</t>
        </is>
      </c>
      <c r="H2" s="2" t="inlineStr">
        <is>
          <t>Crew /
Technician</t>
        </is>
      </c>
      <c r="I2" s="2" t="inlineStr">
        <is>
          <t>Notes</t>
        </is>
      </c>
    </row>
    <row r="3">
      <c r="A3" s="3" t="inlineStr">
        <is>
          <t>TE-0001</t>
        </is>
      </c>
      <c r="B3" s="3" t="inlineStr">
        <is>
          <t>JOB-0001</t>
        </is>
      </c>
      <c r="C3" s="3" t="inlineStr">
        <is>
          <t>Sunshine Realty LLC</t>
        </is>
      </c>
      <c r="D3" s="3" t="inlineStr">
        <is>
          <t>2026-03-30</t>
        </is>
      </c>
      <c r="E3" s="3" t="inlineStr">
        <is>
          <t>08:02:15</t>
        </is>
      </c>
      <c r="F3" s="3" t="inlineStr">
        <is>
          <t>09:28:44</t>
        </is>
      </c>
      <c r="G3" s="3" t="n">
        <v>86</v>
      </c>
      <c r="H3" s="3" t="inlineStr">
        <is>
          <t>Mike C.</t>
        </is>
      </c>
      <c r="I3" s="3" t="inlineStr">
        <is>
          <t>Clocked via AI-Prowler log_time_entry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🪣  SERVICES &amp; PRICING CATALOG</t>
        </is>
      </c>
    </row>
    <row r="2">
      <c r="A2" s="2" t="inlineStr">
        <is>
          <t>Service
Code</t>
        </is>
      </c>
      <c r="B2" s="2" t="inlineStr">
        <is>
          <t>Service
Category</t>
        </is>
      </c>
      <c r="C2" s="2" t="inlineStr">
        <is>
          <t>Service
Name / Description</t>
        </is>
      </c>
      <c r="D2" s="2" t="inlineStr">
        <is>
          <t>Base
Price ($)</t>
        </is>
      </c>
      <c r="E2" s="2" t="inlineStr">
        <is>
          <t>Unit /
Basis</t>
        </is>
      </c>
      <c r="F2" s="2" t="inlineStr">
        <is>
          <t>Min.
Charge ($)</t>
        </is>
      </c>
      <c r="G2" s="2" t="inlineStr">
        <is>
          <t>Comm.
Multiplier</t>
        </is>
      </c>
      <c r="H2" s="2" t="inlineStr">
        <is>
          <t>Tax
Category</t>
        </is>
      </c>
      <c r="I2" s="2" t="inlineStr">
        <is>
          <t>Notes</t>
        </is>
      </c>
    </row>
    <row r="3">
      <c r="A3" s="3" t="inlineStr">
        <is>
          <t>WIN-01</t>
        </is>
      </c>
      <c r="B3" s="3" t="inlineStr">
        <is>
          <t>Window Washing</t>
        </is>
      </c>
      <c r="C3" s="3" t="inlineStr">
        <is>
          <t>Residential — per window pane</t>
        </is>
      </c>
      <c r="D3" s="3" t="n">
        <v>12</v>
      </c>
      <c r="E3" s="3" t="inlineStr">
        <is>
          <t>per pane</t>
        </is>
      </c>
      <c r="F3" s="3" t="n">
        <v>75</v>
      </c>
      <c r="G3" s="3" t="n">
        <v>1</v>
      </c>
      <c r="H3" s="3" t="inlineStr">
        <is>
          <t>Taxable</t>
        </is>
      </c>
      <c r="I3" s="3" t="inlineStr">
        <is>
          <t>Standard single/double pane</t>
        </is>
      </c>
    </row>
    <row r="4">
      <c r="A4" s="3" t="inlineStr">
        <is>
          <t>WIN-02</t>
        </is>
      </c>
      <c r="B4" s="3" t="inlineStr">
        <is>
          <t>Window Washing</t>
        </is>
      </c>
      <c r="C4" s="3" t="inlineStr">
        <is>
          <t>Commercial storefront — per panel</t>
        </is>
      </c>
      <c r="D4" s="3" t="n">
        <v>45</v>
      </c>
      <c r="E4" s="3" t="inlineStr">
        <is>
          <t>per panel</t>
        </is>
      </c>
      <c r="F4" s="3" t="n">
        <v>100</v>
      </c>
      <c r="G4" s="3" t="n">
        <v>1.2</v>
      </c>
      <c r="H4" s="3" t="inlineStr">
        <is>
          <t>Taxable</t>
        </is>
      </c>
      <c r="I4" s="3" t="inlineStr">
        <is>
          <t>Large glass panels</t>
        </is>
      </c>
    </row>
    <row r="5">
      <c r="A5" s="3" t="inlineStr">
        <is>
          <t>WIN-03</t>
        </is>
      </c>
      <c r="B5" s="3" t="inlineStr">
        <is>
          <t>Window Washing</t>
        </is>
      </c>
      <c r="C5" s="3" t="inlineStr">
        <is>
          <t>High-rise / 2nd story add-on</t>
        </is>
      </c>
      <c r="D5" s="3" t="n">
        <v>5</v>
      </c>
      <c r="E5" s="3" t="inlineStr">
        <is>
          <t>per pane</t>
        </is>
      </c>
      <c r="F5" s="3" t="n">
        <v>0</v>
      </c>
      <c r="H5" s="3" t="inlineStr">
        <is>
          <t>Taxable</t>
        </is>
      </c>
      <c r="I5" s="3" t="inlineStr">
        <is>
          <t>Added to base window price</t>
        </is>
      </c>
    </row>
    <row r="6">
      <c r="A6" s="3" t="inlineStr">
        <is>
          <t>WIN-04</t>
        </is>
      </c>
      <c r="B6" s="3" t="inlineStr">
        <is>
          <t>Window Washing</t>
        </is>
      </c>
      <c r="C6" s="3" t="inlineStr">
        <is>
          <t>Screen cleaning</t>
        </is>
      </c>
      <c r="D6" s="3" t="n">
        <v>3</v>
      </c>
      <c r="E6" s="3" t="inlineStr">
        <is>
          <t>per screen</t>
        </is>
      </c>
      <c r="F6" s="3" t="n">
        <v>0</v>
      </c>
      <c r="H6" s="3" t="inlineStr">
        <is>
          <t>Taxable</t>
        </is>
      </c>
      <c r="I6" s="3" t="inlineStr">
        <is>
          <t>Remove, clean, reinstall</t>
        </is>
      </c>
    </row>
    <row r="7">
      <c r="A7" s="3" t="inlineStr">
        <is>
          <t>WIN-05</t>
        </is>
      </c>
      <c r="B7" s="3" t="inlineStr">
        <is>
          <t>Window Washing</t>
        </is>
      </c>
      <c r="C7" s="3" t="inlineStr">
        <is>
          <t>Interior + Exterior combo</t>
        </is>
      </c>
      <c r="D7" s="3" t="n">
        <v>18</v>
      </c>
      <c r="E7" s="3" t="inlineStr">
        <is>
          <t>per pane</t>
        </is>
      </c>
      <c r="F7" s="3" t="n">
        <v>90</v>
      </c>
      <c r="G7" s="3" t="n">
        <v>1.15</v>
      </c>
      <c r="H7" s="3" t="inlineStr">
        <is>
          <t>Taxable</t>
        </is>
      </c>
      <c r="I7" s="3" t="inlineStr">
        <is>
          <t>Both sides</t>
        </is>
      </c>
    </row>
    <row r="8">
      <c r="A8" s="3" t="inlineStr">
        <is>
          <t>PRE-01</t>
        </is>
      </c>
      <c r="B8" s="3" t="inlineStr">
        <is>
          <t>Pressure Washing</t>
        </is>
      </c>
      <c r="C8" s="3" t="inlineStr">
        <is>
          <t>Driveway / concrete</t>
        </is>
      </c>
      <c r="D8" s="3" t="n">
        <v>0.15</v>
      </c>
      <c r="E8" s="3" t="inlineStr">
        <is>
          <t>per sq ft</t>
        </is>
      </c>
      <c r="F8" s="3" t="n">
        <v>100</v>
      </c>
      <c r="G8" s="3" t="n">
        <v>1.1</v>
      </c>
      <c r="H8" s="3" t="inlineStr">
        <is>
          <t>Taxable</t>
        </is>
      </c>
      <c r="I8" s="3" t="inlineStr">
        <is>
          <t>Up to 3000 PSI</t>
        </is>
      </c>
    </row>
    <row r="9">
      <c r="A9" s="3" t="inlineStr">
        <is>
          <t>PRE-02</t>
        </is>
      </c>
      <c r="B9" s="3" t="inlineStr">
        <is>
          <t>Pressure Washing</t>
        </is>
      </c>
      <c r="C9" s="3" t="inlineStr">
        <is>
          <t>House siding / exterior</t>
        </is>
      </c>
      <c r="D9" s="3" t="n">
        <v>0.2</v>
      </c>
      <c r="E9" s="3" t="inlineStr">
        <is>
          <t>per sq ft</t>
        </is>
      </c>
      <c r="F9" s="3" t="n">
        <v>150</v>
      </c>
      <c r="G9" s="3" t="n">
        <v>1.15</v>
      </c>
      <c r="H9" s="3" t="inlineStr">
        <is>
          <t>Taxable</t>
        </is>
      </c>
      <c r="I9" s="3" t="inlineStr">
        <is>
          <t>Soft wash available</t>
        </is>
      </c>
    </row>
    <row r="10">
      <c r="A10" s="3" t="inlineStr">
        <is>
          <t>PRE-03</t>
        </is>
      </c>
      <c r="B10" s="3" t="inlineStr">
        <is>
          <t>Pressure Washing</t>
        </is>
      </c>
      <c r="C10" s="3" t="inlineStr">
        <is>
          <t>Deck / wood surface</t>
        </is>
      </c>
      <c r="D10" s="3" t="n">
        <v>0.25</v>
      </c>
      <c r="E10" s="3" t="inlineStr">
        <is>
          <t>per sq ft</t>
        </is>
      </c>
      <c r="F10" s="3" t="n">
        <v>125</v>
      </c>
      <c r="G10" s="3" t="n">
        <v>1.1</v>
      </c>
      <c r="H10" s="3" t="inlineStr">
        <is>
          <t>Taxable</t>
        </is>
      </c>
      <c r="I10" s="3" t="inlineStr">
        <is>
          <t>Includes pre-treat</t>
        </is>
      </c>
    </row>
    <row r="11">
      <c r="A11" s="3" t="inlineStr">
        <is>
          <t>PRE-04</t>
        </is>
      </c>
      <c r="B11" s="3" t="inlineStr">
        <is>
          <t>Pressure Washing</t>
        </is>
      </c>
      <c r="C11" s="3" t="inlineStr">
        <is>
          <t>Fence — vinyl/wood</t>
        </is>
      </c>
      <c r="D11" s="3" t="n">
        <v>0.18</v>
      </c>
      <c r="E11" s="3" t="inlineStr">
        <is>
          <t>per linear ft</t>
        </is>
      </c>
      <c r="F11" s="3" t="n">
        <v>75</v>
      </c>
      <c r="G11" s="3" t="n">
        <v>1.1</v>
      </c>
      <c r="H11" s="3" t="inlineStr">
        <is>
          <t>Taxable</t>
        </is>
      </c>
      <c r="I11" s="3" t="inlineStr">
        <is>
          <t>Both sides</t>
        </is>
      </c>
    </row>
    <row r="12">
      <c r="A12" s="3" t="inlineStr">
        <is>
          <t>PRE-05</t>
        </is>
      </c>
      <c r="B12" s="3" t="inlineStr">
        <is>
          <t>Pressure Washing</t>
        </is>
      </c>
      <c r="C12" s="3" t="inlineStr">
        <is>
          <t>Roof soft wash</t>
        </is>
      </c>
      <c r="D12" s="3" t="n">
        <v>0.3</v>
      </c>
      <c r="E12" s="3" t="inlineStr">
        <is>
          <t>per sq ft</t>
        </is>
      </c>
      <c r="F12" s="3" t="n">
        <v>200</v>
      </c>
      <c r="G12" s="3" t="n">
        <v>1.25</v>
      </c>
      <c r="H12" s="3" t="inlineStr">
        <is>
          <t>Taxable</t>
        </is>
      </c>
      <c r="I12" s="3" t="inlineStr">
        <is>
          <t>Low pressure method</t>
        </is>
      </c>
    </row>
    <row r="13">
      <c r="A13" s="3" t="inlineStr">
        <is>
          <t>PKG-01</t>
        </is>
      </c>
      <c r="B13" s="3" t="inlineStr">
        <is>
          <t>Package Deal</t>
        </is>
      </c>
      <c r="C13" s="3" t="inlineStr">
        <is>
          <t>Window + Pressure combo</t>
        </is>
      </c>
      <c r="E13" s="3" t="inlineStr">
        <is>
          <t>Flat / custom</t>
        </is>
      </c>
      <c r="F13" s="3" t="n">
        <v>200</v>
      </c>
      <c r="G13" s="3" t="n">
        <v>1</v>
      </c>
      <c r="H13" s="3" t="inlineStr">
        <is>
          <t>Taxable</t>
        </is>
      </c>
      <c r="I13" s="3" t="inlineStr">
        <is>
          <t>Quote per site visit</t>
        </is>
      </c>
    </row>
    <row r="14">
      <c r="A14" s="3" t="inlineStr">
        <is>
          <t>PKG-02</t>
        </is>
      </c>
      <c r="B14" s="3" t="inlineStr">
        <is>
          <t>Package Deal</t>
        </is>
      </c>
      <c r="C14" s="3" t="inlineStr">
        <is>
          <t>Recurring monthly contract</t>
        </is>
      </c>
      <c r="E14" s="3" t="inlineStr">
        <is>
          <t>Monthly flat</t>
        </is>
      </c>
      <c r="F14" s="3" t="n">
        <v>300</v>
      </c>
      <c r="G14" s="3" t="n">
        <v>1</v>
      </c>
      <c r="H14" s="3" t="inlineStr">
        <is>
          <t>Taxable</t>
        </is>
      </c>
      <c r="I14" s="3" t="inlineStr">
        <is>
          <t>Min 3-month commitment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30" customWidth="1" min="3" max="3"/>
    <col width="30" customWidth="1" min="4" max="4"/>
  </cols>
  <sheetData>
    <row r="1">
      <c r="A1" s="1" t="inlineStr">
        <is>
          <t>🤖  AI-PROWLER QUICK COMMAND REFERENCE</t>
        </is>
      </c>
    </row>
    <row r="2">
      <c r="A2" s="6" t="inlineStr">
        <is>
          <t>ROUTING &amp; MAPPING</t>
        </is>
      </c>
    </row>
    <row r="3">
      <c r="A3" s="2" t="inlineStr">
        <is>
          <t>Task</t>
        </is>
      </c>
      <c r="B3" s="2" t="inlineStr">
        <is>
          <t>Example Prompt for AI-Prowler</t>
        </is>
      </c>
      <c r="C3" s="2" t="inlineStr">
        <is>
          <t>Tool Used</t>
        </is>
      </c>
      <c r="D3" s="2" t="inlineStr">
        <is>
          <t>Sheet Updated</t>
        </is>
      </c>
    </row>
    <row r="4">
      <c r="A4" s="3" t="inlineStr">
        <is>
          <t>Geocode new customer address</t>
        </is>
      </c>
      <c r="B4" s="3" t="inlineStr">
        <is>
          <t>Geocode this address: 125 Harbor Blvd, NSB FL 32168</t>
        </is>
      </c>
      <c r="C4" s="3" t="inlineStr">
        <is>
          <t>geocode_address</t>
        </is>
      </c>
      <c r="D4" s="3" t="inlineStr">
        <is>
          <t>Customers col L,M / Jobs_Schedule col I,J</t>
        </is>
      </c>
    </row>
    <row r="5">
      <c r="A5" s="3" t="inlineStr">
        <is>
          <t>Build route map URL</t>
        </is>
      </c>
      <c r="B5" s="3" t="inlineStr">
        <is>
          <t>Build a Google Maps URL for my Monday March 30 stops</t>
        </is>
      </c>
      <c r="C5" s="3" t="inlineStr">
        <is>
          <t>build_maps_url</t>
        </is>
      </c>
      <c r="D5" s="3" t="inlineStr">
        <is>
          <t>Route_Planner col R</t>
        </is>
      </c>
    </row>
    <row r="6">
      <c r="A6" s="3" t="inlineStr">
        <is>
          <t>Optimize stop order</t>
        </is>
      </c>
      <c r="B6" s="3" t="inlineStr">
        <is>
          <t>Optimize my route for Monday March 30 starting from [depot address]</t>
        </is>
      </c>
      <c r="C6" s="3" t="inlineStr">
        <is>
          <t>optimize_route</t>
        </is>
      </c>
      <c r="D6" s="3" t="inlineStr">
        <is>
          <t>Route_Planner col C</t>
        </is>
      </c>
    </row>
    <row r="8">
      <c r="A8" s="6" t="inlineStr">
        <is>
          <t>SCHEDULING</t>
        </is>
      </c>
    </row>
    <row r="9">
      <c r="A9" s="2" t="inlineStr">
        <is>
          <t>Task</t>
        </is>
      </c>
      <c r="B9" s="2" t="inlineStr">
        <is>
          <t>Example Prompt for AI-Prowler</t>
        </is>
      </c>
      <c r="C9" s="2" t="inlineStr">
        <is>
          <t>Tool Used</t>
        </is>
      </c>
      <c r="D9" s="2" t="inlineStr">
        <is>
          <t>Sheet Updated</t>
        </is>
      </c>
    </row>
    <row r="10">
      <c r="A10" s="3" t="inlineStr">
        <is>
          <t>Schedule a new job</t>
        </is>
      </c>
      <c r="B10" s="3" t="inlineStr">
        <is>
          <t>Schedule window washing for CUST-0002 on April 5 at 9am</t>
        </is>
      </c>
      <c r="C10" s="3" t="inlineStr">
        <is>
          <t>update_job_spreadsheet</t>
        </is>
      </c>
      <c r="D10" s="3" t="inlineStr">
        <is>
          <t>Jobs_Schedule</t>
        </is>
      </c>
    </row>
    <row r="11">
      <c r="A11" s="3" t="inlineStr">
        <is>
          <t>Check weather before job</t>
        </is>
      </c>
      <c r="B11" s="3" t="inlineStr">
        <is>
          <t>What's the weather forecast for New Smyrna Beach on April 5?</t>
        </is>
      </c>
      <c r="C11" s="3" t="inlineStr">
        <is>
          <t>get_weather</t>
        </is>
      </c>
      <c r="D11" s="3" t="inlineStr">
        <is>
          <t>Jobs_Schedule col V</t>
        </is>
      </c>
    </row>
    <row r="12">
      <c r="A12" s="3" t="inlineStr">
        <is>
          <t>List jobs for a date</t>
        </is>
      </c>
      <c r="B12" s="3" t="inlineStr">
        <is>
          <t>Show me all jobs scheduled for Monday March 30</t>
        </is>
      </c>
      <c r="C12" s="3" t="inlineStr">
        <is>
          <t>read_job_spreadsheet</t>
        </is>
      </c>
      <c r="D12" s="3" t="inlineStr">
        <is>
          <t>Jobs_Schedule</t>
        </is>
      </c>
    </row>
    <row r="13">
      <c r="A13" s="3" t="inlineStr">
        <is>
          <t>Auto-book next recurring job</t>
        </is>
      </c>
      <c r="B13" s="3" t="inlineStr">
        <is>
          <t>Schedule the next recurring job after JOB-0003</t>
        </is>
      </c>
      <c r="C13" s="3" t="inlineStr">
        <is>
          <t>schedule_next_recurring_job</t>
        </is>
      </c>
      <c r="D13" s="3" t="inlineStr">
        <is>
          <t>Jobs_Schedule</t>
        </is>
      </c>
    </row>
    <row r="15">
      <c r="A15" s="6" t="inlineStr">
        <is>
          <t>INVOICING &amp; BILLING</t>
        </is>
      </c>
    </row>
    <row r="16">
      <c r="A16" s="2" t="inlineStr">
        <is>
          <t>Task</t>
        </is>
      </c>
      <c r="B16" s="2" t="inlineStr">
        <is>
          <t>Example Prompt for AI-Prowler</t>
        </is>
      </c>
      <c r="C16" s="2" t="inlineStr">
        <is>
          <t>Tool Used</t>
        </is>
      </c>
      <c r="D16" s="2" t="inlineStr">
        <is>
          <t>Sheet Updated</t>
        </is>
      </c>
    </row>
    <row r="17">
      <c r="A17" s="3" t="inlineStr">
        <is>
          <t>Mark job complete</t>
        </is>
      </c>
      <c r="B17" s="3" t="inlineStr">
        <is>
          <t>Mark JOB-0001 as completed with actual duration 85 min</t>
        </is>
      </c>
      <c r="C17" s="3" t="inlineStr">
        <is>
          <t>update_job_spreadsheet</t>
        </is>
      </c>
      <c r="D17" s="3" t="inlineStr">
        <is>
          <t>Jobs_Schedule col S,W</t>
        </is>
      </c>
    </row>
    <row r="18">
      <c r="A18" s="3" t="inlineStr">
        <is>
          <t>Create / update invoice</t>
        </is>
      </c>
      <c r="B18" s="3" t="inlineStr">
        <is>
          <t>Update invoice INV-0001 with actual amount and mark sent</t>
        </is>
      </c>
      <c r="C18" s="3" t="inlineStr">
        <is>
          <t>update_job_spreadsheet</t>
        </is>
      </c>
      <c r="D18" s="3" t="inlineStr">
        <is>
          <t>Invoices</t>
        </is>
      </c>
    </row>
    <row r="19">
      <c r="A19" s="3" t="inlineStr">
        <is>
          <t>Email invoice to customer</t>
        </is>
      </c>
      <c r="B19" s="3" t="inlineStr">
        <is>
          <t>Email the invoice for INV-0001 to Karen</t>
        </is>
      </c>
      <c r="C19" s="3" t="inlineStr">
        <is>
          <t>email_invoice</t>
        </is>
      </c>
      <c r="D19" s="3" t="inlineStr">
        <is>
          <t>Invoices / Email</t>
        </is>
      </c>
    </row>
    <row r="20">
      <c r="A20" s="3" t="inlineStr">
        <is>
          <t>Send payment reminder email</t>
        </is>
      </c>
      <c r="B20" s="3" t="inlineStr">
        <is>
          <t>Send a payment reminder for INV-0002 to mtorres@gmail.com</t>
        </is>
      </c>
      <c r="C20" s="3" t="inlineStr">
        <is>
          <t>send_email</t>
        </is>
      </c>
      <c r="D20" s="3" t="inlineStr">
        <is>
          <t>Invoices</t>
        </is>
      </c>
    </row>
    <row r="21">
      <c r="A21" s="3" t="inlineStr">
        <is>
          <t>AR aging report</t>
        </is>
      </c>
      <c r="B21" s="3" t="inlineStr">
        <is>
          <t>Show me all overdue unpaid invoices with days outstanding</t>
        </is>
      </c>
      <c r="C21" s="3" t="inlineStr">
        <is>
          <t>get_ar_aging_report</t>
        </is>
      </c>
      <c r="D21" s="3" t="inlineStr">
        <is>
          <t>Invoices (read)</t>
        </is>
      </c>
    </row>
    <row r="22">
      <c r="A22" s="3" t="inlineStr">
        <is>
          <t>Check outstanding AR</t>
        </is>
      </c>
      <c r="B22" s="3" t="inlineStr">
        <is>
          <t>Which customers owe me money and how much?</t>
        </is>
      </c>
      <c r="C22" s="3" t="inlineStr">
        <is>
          <t>get_ar_aging_report</t>
        </is>
      </c>
      <c r="D22" s="3" t="inlineStr">
        <is>
          <t>Invoices (read)</t>
        </is>
      </c>
    </row>
    <row r="24">
      <c r="A24" s="6" t="inlineStr">
        <is>
          <t>CUSTOMER COMMUNICATION (SMS)</t>
        </is>
      </c>
    </row>
    <row r="25">
      <c r="A25" s="2" t="inlineStr">
        <is>
          <t>Task</t>
        </is>
      </c>
      <c r="B25" s="2" t="inlineStr">
        <is>
          <t>Example Prompt for AI-Prowler</t>
        </is>
      </c>
      <c r="C25" s="2" t="inlineStr">
        <is>
          <t>Tool Used</t>
        </is>
      </c>
      <c r="D25" s="2" t="inlineStr">
        <is>
          <t>Sheet Updated</t>
        </is>
      </c>
    </row>
    <row r="26">
      <c r="A26" s="3" t="inlineStr">
        <is>
          <t>Text customer 'on my way'</t>
        </is>
      </c>
      <c r="B26" s="3" t="inlineStr">
        <is>
          <t>Text Karen that Mike is 20 minutes away</t>
        </is>
      </c>
      <c r="C26" s="3" t="inlineStr">
        <is>
          <t>send_sms</t>
        </is>
      </c>
      <c r="D26" s="3" t="inlineStr">
        <is>
          <t>Customers (reads Phone)</t>
        </is>
      </c>
    </row>
    <row r="27">
      <c r="A27" s="3" t="inlineStr">
        <is>
          <t>Send appointment reminder</t>
        </is>
      </c>
      <c r="B27" s="3" t="inlineStr">
        <is>
          <t>Text Michael Torres a reminder for tomorrow 9am window cleaning</t>
        </is>
      </c>
      <c r="C27" s="3" t="inlineStr">
        <is>
          <t>send_sms</t>
        </is>
      </c>
      <c r="D27" s="3" t="inlineStr">
        <is>
          <t>Customers (reads Phone)</t>
        </is>
      </c>
    </row>
    <row r="28">
      <c r="A28" s="3" t="inlineStr">
        <is>
          <t>Send payment reminder text</t>
        </is>
      </c>
      <c r="B28" s="3" t="inlineStr">
        <is>
          <t>Text CUST-0002 that invoice INV-0002 is due</t>
        </is>
      </c>
      <c r="C28" s="3" t="inlineStr">
        <is>
          <t>send_sms</t>
        </is>
      </c>
      <c r="D28" s="3" t="inlineStr">
        <is>
          <t>Customers (reads Phone)</t>
        </is>
      </c>
    </row>
    <row r="29">
      <c r="A29" s="3" t="inlineStr">
        <is>
          <t>Request Google review</t>
        </is>
      </c>
      <c r="B29" s="3" t="inlineStr">
        <is>
          <t>Text Blue Wave Cafe a review request after today's job</t>
        </is>
      </c>
      <c r="C29" s="3" t="inlineStr">
        <is>
          <t>send_sms</t>
        </is>
      </c>
      <c r="D29" s="3" t="inlineStr">
        <is>
          <t>Customers (reads Phone)</t>
        </is>
      </c>
    </row>
    <row r="31">
      <c r="A31" s="6" t="inlineStr">
        <is>
          <t>TIME TRACKING</t>
        </is>
      </c>
    </row>
    <row r="32">
      <c r="A32" s="2" t="inlineStr">
        <is>
          <t>Task</t>
        </is>
      </c>
      <c r="B32" s="2" t="inlineStr">
        <is>
          <t>Example Prompt for AI-Prowler</t>
        </is>
      </c>
      <c r="C32" s="2" t="inlineStr">
        <is>
          <t>Tool Used</t>
        </is>
      </c>
      <c r="D32" s="2" t="inlineStr">
        <is>
          <t>Sheet Updated</t>
        </is>
      </c>
    </row>
    <row r="33">
      <c r="A33" s="3" t="inlineStr">
        <is>
          <t>Clock in to a job</t>
        </is>
      </c>
      <c r="B33" s="3" t="inlineStr">
        <is>
          <t>Clock in for JOB-0005</t>
        </is>
      </c>
      <c r="C33" s="3" t="inlineStr">
        <is>
          <t>log_time_entry (start)</t>
        </is>
      </c>
      <c r="D33" s="3" t="inlineStr">
        <is>
          <t>TimeLog</t>
        </is>
      </c>
    </row>
    <row r="34">
      <c r="A34" s="3" t="inlineStr">
        <is>
          <t>Clock out of a job</t>
        </is>
      </c>
      <c r="B34" s="3" t="inlineStr">
        <is>
          <t>Clock out — I just finished Harbor Inn</t>
        </is>
      </c>
      <c r="C34" s="3" t="inlineStr">
        <is>
          <t>log_time_entry (stop)</t>
        </is>
      </c>
      <c r="D34" s="3" t="inlineStr">
        <is>
          <t>TimeLog + Jobs_Schedule col S</t>
        </is>
      </c>
    </row>
    <row r="36">
      <c r="A36" s="6" t="inlineStr">
        <is>
          <t>CUSTOMER MANAGEMENT</t>
        </is>
      </c>
    </row>
    <row r="37">
      <c r="A37" s="2" t="inlineStr">
        <is>
          <t>Task</t>
        </is>
      </c>
      <c r="B37" s="2" t="inlineStr">
        <is>
          <t>Example Prompt for AI-Prowler</t>
        </is>
      </c>
      <c r="C37" s="2" t="inlineStr">
        <is>
          <t>Tool Used</t>
        </is>
      </c>
      <c r="D37" s="2" t="inlineStr">
        <is>
          <t>Sheet Updated</t>
        </is>
      </c>
    </row>
    <row r="38">
      <c r="A38" s="3" t="inlineStr">
        <is>
          <t>Look up customer</t>
        </is>
      </c>
      <c r="B38" s="3" t="inlineStr">
        <is>
          <t>Find the service history for Harbor Inn Motel</t>
        </is>
      </c>
      <c r="C38" s="3" t="inlineStr">
        <is>
          <t>read_job_spreadsheet</t>
        </is>
      </c>
      <c r="D38" s="3" t="inlineStr">
        <is>
          <t>Customers / Jobs_Schedule</t>
        </is>
      </c>
    </row>
    <row r="39">
      <c r="A39" s="3" t="inlineStr">
        <is>
          <t>Revenue report</t>
        </is>
      </c>
      <c r="B39" s="3" t="inlineStr">
        <is>
          <t>What is total revenue collected this month?</t>
        </is>
      </c>
      <c r="C39" s="3" t="inlineStr">
        <is>
          <t>get_ar_aging_report</t>
        </is>
      </c>
      <c r="D39" s="3" t="inlineStr">
        <is>
          <t>Invoices (read)</t>
        </is>
      </c>
    </row>
    <row r="41">
      <c r="A41" s="6" t="inlineStr">
        <is>
          <t>SYSTEM</t>
        </is>
      </c>
    </row>
    <row r="42">
      <c r="A42" s="2" t="inlineStr">
        <is>
          <t>Task</t>
        </is>
      </c>
      <c r="B42" s="2" t="inlineStr">
        <is>
          <t>Example Prompt for AI-Prowler</t>
        </is>
      </c>
      <c r="C42" s="2" t="inlineStr">
        <is>
          <t>Tool Used</t>
        </is>
      </c>
      <c r="D42" s="2" t="inlineStr">
        <is>
          <t>Sheet Updated</t>
        </is>
      </c>
    </row>
    <row r="43">
      <c r="A43" s="3" t="inlineStr">
        <is>
          <t>Full tool status check</t>
        </is>
      </c>
      <c r="B43" s="3" t="inlineStr">
        <is>
          <t>Check which AI-Prowler action tools are ready</t>
        </is>
      </c>
      <c r="C43" s="3" t="inlineStr">
        <is>
          <t>check_tools_status</t>
        </is>
      </c>
      <c r="D43" s="3" t="inlineStr">
        <is>
          <t>—</t>
        </is>
      </c>
    </row>
  </sheetData>
  <mergeCells count="7">
    <mergeCell ref="A31:D31"/>
    <mergeCell ref="A8:D8"/>
    <mergeCell ref="A15:D15"/>
    <mergeCell ref="A24:D24"/>
    <mergeCell ref="A2:D2"/>
    <mergeCell ref="A41:D41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2026-06-18T13:00:14Z</dcterms:created>
  <dcterms:modified xmlns:dcterms="http://purl.org/dc/terms/" xmlns:xsi="http://www.w3.org/2001/XMLSchema-instance" xsi:type="dcterms:W3CDTF">2026-06-18T13:00:15Z</dcterms:modified>
</cp:coreProperties>
</file>