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ustomers" sheetId="1" state="visible" r:id="rId3"/>
    <sheet name="Jobs_Schedule" sheetId="2" state="visible" r:id="rId4"/>
    <sheet name="Route_Planner" sheetId="3" state="visible" r:id="rId5"/>
    <sheet name="Quotes" sheetId="4" state="visible" r:id="rId6"/>
    <sheet name="Invoices" sheetId="5" state="visible" r:id="rId7"/>
    <sheet name="Services_Pricing" sheetId="6" state="visible" r:id="rId8"/>
    <sheet name="AI-Prowler_Command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<sst xmlns="http://schemas.openxmlformats.org/spreadsheetml/2006/main" count="573" uniqueCount="323">
  <si>
    <t xml:space="preserve">🪟  AI-PROWLER JOB TRACKER — Customer Master List</t>
  </si>
  <si>
    <t xml:space="preserve">CustomerID
(CUST-####)</t>
  </si>
  <si>
    <t xml:space="preserve">Customer
Type
Comm/Res</t>
  </si>
  <si>
    <t xml:space="preserve">Company
Name</t>
  </si>
  <si>
    <t xml:space="preserve">First
Name</t>
  </si>
  <si>
    <t xml:space="preserve">Last
Name</t>
  </si>
  <si>
    <t xml:space="preserve">Phone</t>
  </si>
  <si>
    <t xml:space="preserve">Email</t>
  </si>
  <si>
    <t xml:space="preserve">Street
Address
★ AI Route</t>
  </si>
  <si>
    <t xml:space="preserve">City
★ AI Route</t>
  </si>
  <si>
    <t xml:space="preserve">State</t>
  </si>
  <si>
    <t xml:space="preserve">ZIP
★ AI Route</t>
  </si>
  <si>
    <t xml:space="preserve">Latitude
(AI Geocode)</t>
  </si>
  <si>
    <t xml:space="preserve">Longitude
(AI Geocode)</t>
  </si>
  <si>
    <t xml:space="preserve">Service
Type(s)
Win/Press/Both</t>
  </si>
  <si>
    <t xml:space="preserve">Frequency
W/BW/M/Q/OT</t>
  </si>
  <si>
    <t xml:space="preserve">Preferred
Day(s)</t>
  </si>
  <si>
    <t xml:space="preserve">Pref. Time
Window</t>
  </si>
  <si>
    <t xml:space="preserve">Avg Job
Duration
(min)</t>
  </si>
  <si>
    <t xml:space="preserve">Standard
Quote ($)</t>
  </si>
  <si>
    <t xml:space="preserve">Discount
(%)</t>
  </si>
  <si>
    <t xml:space="preserve">Net
Price ($)</t>
  </si>
  <si>
    <t xml:space="preserve">Last Service
Date</t>
  </si>
  <si>
    <t xml:space="preserve">Next Sched.
Date</t>
  </si>
  <si>
    <t xml:space="preserve">Total Jobs
Completed</t>
  </si>
  <si>
    <t xml:space="preserve">Lifetime
Revenue ($)</t>
  </si>
  <si>
    <t xml:space="preserve">Gate Code /
Access Notes</t>
  </si>
  <si>
    <t xml:space="preserve">On-Site
Contact</t>
  </si>
  <si>
    <t xml:space="preserve">Status
Active/Inactive</t>
  </si>
  <si>
    <t xml:space="preserve">CUST-0001</t>
  </si>
  <si>
    <t xml:space="preserve">Commercial</t>
  </si>
  <si>
    <t xml:space="preserve">Sunshine Realty LLC</t>
  </si>
  <si>
    <t xml:space="preserve">Karen</t>
  </si>
  <si>
    <t xml:space="preserve">Walsh</t>
  </si>
  <si>
    <t xml:space="preserve">386-555-0101</t>
  </si>
  <si>
    <t xml:space="preserve">karen@sunshine.com</t>
  </si>
  <si>
    <t xml:space="preserve">125 Harbor Blvd</t>
  </si>
  <si>
    <t xml:space="preserve">New Smyrna Beach</t>
  </si>
  <si>
    <t xml:space="preserve">FL</t>
  </si>
  <si>
    <t xml:space="preserve">32168</t>
  </si>
  <si>
    <t xml:space="preserve">Both</t>
  </si>
  <si>
    <t xml:space="preserve">Monthly</t>
  </si>
  <si>
    <t xml:space="preserve">Mon,Wed</t>
  </si>
  <si>
    <t xml:space="preserve">8am-5pm</t>
  </si>
  <si>
    <t xml:space="preserve">Gate code 4421</t>
  </si>
  <si>
    <t xml:space="preserve">On-site mgr: Tom</t>
  </si>
  <si>
    <t xml:space="preserve">Active</t>
  </si>
  <si>
    <t xml:space="preserve">CUST-0002</t>
  </si>
  <si>
    <t xml:space="preserve">Residential</t>
  </si>
  <si>
    <t xml:space="preserve">Michael</t>
  </si>
  <si>
    <t xml:space="preserve">Torres</t>
  </si>
  <si>
    <t xml:space="preserve">386-555-0202</t>
  </si>
  <si>
    <t xml:space="preserve">mtorres@gmail.com</t>
  </si>
  <si>
    <t xml:space="preserve">47 Oceanview Dr</t>
  </si>
  <si>
    <t xml:space="preserve">Edgewater</t>
  </si>
  <si>
    <t xml:space="preserve">32141</t>
  </si>
  <si>
    <t xml:space="preserve">Window</t>
  </si>
  <si>
    <t xml:space="preserve">Quarterly</t>
  </si>
  <si>
    <t xml:space="preserve">Saturday</t>
  </si>
  <si>
    <t xml:space="preserve">9am-12pm</t>
  </si>
  <si>
    <t xml:space="preserve">Side gate unlocked</t>
  </si>
  <si>
    <t xml:space="preserve">CUST-0003</t>
  </si>
  <si>
    <t xml:space="preserve">Blue Wave Cafe</t>
  </si>
  <si>
    <t xml:space="preserve">Jennifer</t>
  </si>
  <si>
    <t xml:space="preserve">Nguyen</t>
  </si>
  <si>
    <t xml:space="preserve">386-555-0303</t>
  </si>
  <si>
    <t xml:space="preserve">jnguyen@bluewavecafe.com</t>
  </si>
  <si>
    <t xml:space="preserve">810 Canal St</t>
  </si>
  <si>
    <t xml:space="preserve">Tuesday</t>
  </si>
  <si>
    <t xml:space="preserve">7am-9am</t>
  </si>
  <si>
    <t xml:space="preserve">Back entrance only</t>
  </si>
  <si>
    <t xml:space="preserve">Mgr: Jennifer</t>
  </si>
  <si>
    <t xml:space="preserve">CUST-0004</t>
  </si>
  <si>
    <t xml:space="preserve">Robert</t>
  </si>
  <si>
    <t xml:space="preserve">Martinez</t>
  </si>
  <si>
    <t xml:space="preserve">386-555-0404</t>
  </si>
  <si>
    <t xml:space="preserve">rmartinez@yahoo.com</t>
  </si>
  <si>
    <t xml:space="preserve">233 Pine Tree Rd</t>
  </si>
  <si>
    <t xml:space="preserve">Oak Hill</t>
  </si>
  <si>
    <t xml:space="preserve">32759</t>
  </si>
  <si>
    <t xml:space="preserve">Pressure</t>
  </si>
  <si>
    <t xml:space="preserve">Biweekly</t>
  </si>
  <si>
    <t xml:space="preserve">Thursday</t>
  </si>
  <si>
    <t xml:space="preserve">10am-2pm</t>
  </si>
  <si>
    <t xml:space="preserve">Dog in yard - call ahead</t>
  </si>
  <si>
    <t xml:space="preserve">CUST-0005</t>
  </si>
  <si>
    <t xml:space="preserve">Harbor Inn Motel</t>
  </si>
  <si>
    <t xml:space="preserve">Sandra</t>
  </si>
  <si>
    <t xml:space="preserve">Kim</t>
  </si>
  <si>
    <t xml:space="preserve">386-555-0505</t>
  </si>
  <si>
    <t xml:space="preserve">sandra@harborinn.com</t>
  </si>
  <si>
    <t xml:space="preserve">500 N Dixie Fwy</t>
  </si>
  <si>
    <t xml:space="preserve">Mon,Thu</t>
  </si>
  <si>
    <t xml:space="preserve">6am-10am</t>
  </si>
  <si>
    <t xml:space="preserve">Service entrance rear</t>
  </si>
  <si>
    <t xml:space="preserve">GM: Brian</t>
  </si>
  <si>
    <t xml:space="preserve">CUST-0006</t>
  </si>
  <si>
    <t xml:space="preserve">📅  JOBS &amp; SCHEDULE — All Service Appointments</t>
  </si>
  <si>
    <t xml:space="preserve">JobID
(JOB-####)</t>
  </si>
  <si>
    <t xml:space="preserve">CustomerID
(Customers!A)</t>
  </si>
  <si>
    <t xml:space="preserve">Customer Name
/ Company</t>
  </si>
  <si>
    <t xml:space="preserve">Customer
Type</t>
  </si>
  <si>
    <t xml:space="preserve">Street Address
★ AI Route</t>
  </si>
  <si>
    <t xml:space="preserve">Service
Date</t>
  </si>
  <si>
    <t xml:space="preserve">Day of
Week</t>
  </si>
  <si>
    <t xml:space="preserve">Start
Time</t>
  </si>
  <si>
    <t xml:space="preserve">End
Time</t>
  </si>
  <si>
    <t xml:space="preserve">Service
Type</t>
  </si>
  <si>
    <t xml:space="preserve">Service
Details / Notes</t>
  </si>
  <si>
    <t xml:space="preserve">Crew /
Technician</t>
  </si>
  <si>
    <t xml:space="preserve">Est.
Duration (min)</t>
  </si>
  <si>
    <t xml:space="preserve">Actual
Duration (min)</t>
  </si>
  <si>
    <t xml:space="preserve">Route
Stop #
★ AI Route</t>
  </si>
  <si>
    <t xml:space="preserve">Route
Map URL
★ AI Prowler</t>
  </si>
  <si>
    <t xml:space="preserve">Weather
Check
★ AI Prowler</t>
  </si>
  <si>
    <t xml:space="preserve">Job
Status</t>
  </si>
  <si>
    <t xml:space="preserve">Quote
Amount ($)</t>
  </si>
  <si>
    <t xml:space="preserve">Actual
Amount ($)</t>
  </si>
  <si>
    <t xml:space="preserve">Discount
Applied ($)</t>
  </si>
  <si>
    <t xml:space="preserve">Tax
(7%)</t>
  </si>
  <si>
    <t xml:space="preserve">Invoice
Total ($)</t>
  </si>
  <si>
    <t xml:space="preserve">InvoiceID
(INV-####)</t>
  </si>
  <si>
    <t xml:space="preserve">Invoice
Sent Date</t>
  </si>
  <si>
    <t xml:space="preserve">Payment
Status</t>
  </si>
  <si>
    <t xml:space="preserve">JOB-0001</t>
  </si>
  <si>
    <t xml:space="preserve">2026-03-30</t>
  </si>
  <si>
    <t xml:space="preserve">Monday</t>
  </si>
  <si>
    <t xml:space="preserve">08:00</t>
  </si>
  <si>
    <t xml:space="preserve">09:30</t>
  </si>
  <si>
    <t xml:space="preserve">Full exterior window cleaning — 12 windows</t>
  </si>
  <si>
    <t xml:space="preserve">Mike C.</t>
  </si>
  <si>
    <t xml:space="preserve">Scheduled</t>
  </si>
  <si>
    <t xml:space="preserve">Unpaid</t>
  </si>
  <si>
    <t xml:space="preserve">JOB-0002</t>
  </si>
  <si>
    <t xml:space="preserve">10:00</t>
  </si>
  <si>
    <t xml:space="preserve">10:45</t>
  </si>
  <si>
    <t xml:space="preserve">Storefront glass — 3 panels inside &amp; out</t>
  </si>
  <si>
    <t xml:space="preserve">JOB-0003</t>
  </si>
  <si>
    <t xml:space="preserve">11:30</t>
  </si>
  <si>
    <t xml:space="preserve">14:00</t>
  </si>
  <si>
    <t xml:space="preserve">All lobby windows + parking lot pressure wash</t>
  </si>
  <si>
    <t xml:space="preserve">JOB-0004</t>
  </si>
  <si>
    <t xml:space="preserve">Michael Torres</t>
  </si>
  <si>
    <t xml:space="preserve">2026-04-01</t>
  </si>
  <si>
    <t xml:space="preserve">Wednesday</t>
  </si>
  <si>
    <t xml:space="preserve">09:00</t>
  </si>
  <si>
    <t xml:space="preserve">Whole house exterior windows — 14 panes</t>
  </si>
  <si>
    <t xml:space="preserve">Jake R.</t>
  </si>
  <si>
    <t xml:space="preserve">JOB-0005</t>
  </si>
  <si>
    <t xml:space="preserve">Robert Martinez</t>
  </si>
  <si>
    <t xml:space="preserve">11:00</t>
  </si>
  <si>
    <t xml:space="preserve">12:15</t>
  </si>
  <si>
    <t xml:space="preserve">Driveway + back patio pressure wash</t>
  </si>
  <si>
    <t xml:space="preserve">🗺️  DAILY ROUTE PLANNER — AI-Prowler Route Optimization</t>
  </si>
  <si>
    <t xml:space="preserve">★  Ask AI-Prowler: "Optimize my route for [DATE] and build a map URL for all stops"  → AI-Prowler will fill Lat/Lon, reorder stops, and generate the Google Maps waypoint URL</t>
  </si>
  <si>
    <t xml:space="preserve">Route
Date</t>
  </si>
  <si>
    <t xml:space="preserve">Stop
#</t>
  </si>
  <si>
    <t xml:space="preserve">JobID</t>
  </si>
  <si>
    <t xml:space="preserve">CustomerID</t>
  </si>
  <si>
    <t xml:space="preserve">Street Address
★ AI Geocode</t>
  </si>
  <si>
    <t xml:space="preserve">City</t>
  </si>
  <si>
    <t xml:space="preserve">ZIP</t>
  </si>
  <si>
    <t xml:space="preserve">Latitude
(AI Fill)</t>
  </si>
  <si>
    <t xml:space="preserve">Longitude
(AI Fill)</t>
  </si>
  <si>
    <t xml:space="preserve">Sched.
Arrival</t>
  </si>
  <si>
    <t xml:space="preserve">Sched.
Depart</t>
  </si>
  <si>
    <t xml:space="preserve">Drive Time
from Prev. (min)</t>
  </si>
  <si>
    <t xml:space="preserve">Duration
(min)</t>
  </si>
  <si>
    <t xml:space="preserve">Waypoint
Map URL
★ AI Prowler</t>
  </si>
  <si>
    <t xml:space="preserve">—</t>
  </si>
  <si>
    <t xml:space="preserve">12</t>
  </si>
  <si>
    <t xml:space="preserve">20</t>
  </si>
  <si>
    <t xml:space="preserve">28</t>
  </si>
  <si>
    <t xml:space="preserve">💰  QUOTES — Estimates Sent to Customers</t>
  </si>
  <si>
    <t xml:space="preserve">QuoteID
(QTE-####)</t>
  </si>
  <si>
    <t xml:space="preserve">Address</t>
  </si>
  <si>
    <t xml:space="preserve">Quote
Date</t>
  </si>
  <si>
    <t xml:space="preserve">Valid
Until</t>
  </si>
  <si>
    <t xml:space="preserve">Service
Description</t>
  </si>
  <si>
    <t xml:space="preserve">Sq Ft /
Units</t>
  </si>
  <si>
    <t xml:space="preserve">Unit
Price ($)</t>
  </si>
  <si>
    <t xml:space="preserve">Labor
Cost ($)</t>
  </si>
  <si>
    <t xml:space="preserve">Materials
($)</t>
  </si>
  <si>
    <t xml:space="preserve">Subtotal
($)</t>
  </si>
  <si>
    <t xml:space="preserve">Discount
Amt ($)</t>
  </si>
  <si>
    <t xml:space="preserve">Tax (7%)
($)</t>
  </si>
  <si>
    <t xml:space="preserve">QUOTE
TOTAL ($)</t>
  </si>
  <si>
    <t xml:space="preserve">QTE-0001</t>
  </si>
  <si>
    <t xml:space="preserve">2026-03-25</t>
  </si>
  <si>
    <t xml:space="preserve">2026-04-25</t>
  </si>
  <si>
    <t xml:space="preserve">Full exterior window cleaning 12 windows</t>
  </si>
  <si>
    <t xml:space="preserve">QTE-0002</t>
  </si>
  <si>
    <t xml:space="preserve">2026-03-26</t>
  </si>
  <si>
    <t xml:space="preserve">2026-04-26</t>
  </si>
  <si>
    <t xml:space="preserve">Whole house exterior 14 panes</t>
  </si>
  <si>
    <t xml:space="preserve">QTE-0003</t>
  </si>
  <si>
    <t xml:space="preserve">Prospect Corp</t>
  </si>
  <si>
    <t xml:space="preserve">TBD</t>
  </si>
  <si>
    <t xml:space="preserve">2026-03-27</t>
  </si>
  <si>
    <t xml:space="preserve">2026-04-27</t>
  </si>
  <si>
    <t xml:space="preserve">Office building windows + parking lot pressure</t>
  </si>
  <si>
    <t xml:space="preserve">🧾  INVOICES — Billing &amp; Payment Tracking</t>
  </si>
  <si>
    <t xml:space="preserve">Invoice
Date</t>
  </si>
  <si>
    <t xml:space="preserve">Due
Date
(Net 30)</t>
  </si>
  <si>
    <t xml:space="preserve">Description</t>
  </si>
  <si>
    <t xml:space="preserve">Discount
($)</t>
  </si>
  <si>
    <t xml:space="preserve">Taxable
Amt ($)</t>
  </si>
  <si>
    <t xml:space="preserve">Tax 7%
($)</t>
  </si>
  <si>
    <t xml:space="preserve">TOTAL
DUE ($)</t>
  </si>
  <si>
    <t xml:space="preserve">Amount
Paid ($)</t>
  </si>
  <si>
    <t xml:space="preserve">Balance
Due ($)</t>
  </si>
  <si>
    <t xml:space="preserve">Payment
Date</t>
  </si>
  <si>
    <t xml:space="preserve">Payment
Method</t>
  </si>
  <si>
    <t xml:space="preserve">INV-0001</t>
  </si>
  <si>
    <t xml:space="preserve">2026-04-29</t>
  </si>
  <si>
    <t xml:space="preserve">Exterior window cleaning — 12 windows</t>
  </si>
  <si>
    <t xml:space="preserve">INV-0002</t>
  </si>
  <si>
    <t xml:space="preserve">Storefront glass cleaning — 3 panels</t>
  </si>
  <si>
    <t xml:space="preserve">INV-0003</t>
  </si>
  <si>
    <t xml:space="preserve">Lobby windows + parking lot pressure wash</t>
  </si>
  <si>
    <t xml:space="preserve">🪣  SERVICES &amp; PRICING CATALOG</t>
  </si>
  <si>
    <t xml:space="preserve">Service
Code</t>
  </si>
  <si>
    <t xml:space="preserve">Service
Category</t>
  </si>
  <si>
    <t xml:space="preserve">Service
Name / Description</t>
  </si>
  <si>
    <t xml:space="preserve">Base
Price ($)</t>
  </si>
  <si>
    <t xml:space="preserve">Unit /
Basis</t>
  </si>
  <si>
    <t xml:space="preserve">Min.
Charge ($)</t>
  </si>
  <si>
    <t xml:space="preserve">Comm.
Multiplier</t>
  </si>
  <si>
    <t xml:space="preserve">Tax
Category</t>
  </si>
  <si>
    <t xml:space="preserve">Notes</t>
  </si>
  <si>
    <t xml:space="preserve">WIN-01</t>
  </si>
  <si>
    <t xml:space="preserve">Window Washing</t>
  </si>
  <si>
    <t xml:space="preserve">Residential — per window pane</t>
  </si>
  <si>
    <t xml:space="preserve">per pane</t>
  </si>
  <si>
    <t xml:space="preserve">Taxable</t>
  </si>
  <si>
    <t xml:space="preserve">Standard single/double pane</t>
  </si>
  <si>
    <t xml:space="preserve">WIN-02</t>
  </si>
  <si>
    <t xml:space="preserve">Commercial storefront — per panel</t>
  </si>
  <si>
    <t xml:space="preserve">per panel</t>
  </si>
  <si>
    <t xml:space="preserve">Large glass panels</t>
  </si>
  <si>
    <t xml:space="preserve">WIN-03</t>
  </si>
  <si>
    <t xml:space="preserve">High-rise / 2nd story add-on</t>
  </si>
  <si>
    <t xml:space="preserve">Added to base window price</t>
  </si>
  <si>
    <t xml:space="preserve">WIN-04</t>
  </si>
  <si>
    <t xml:space="preserve">Screen cleaning</t>
  </si>
  <si>
    <t xml:space="preserve">per screen</t>
  </si>
  <si>
    <t xml:space="preserve">Remove, clean, reinstall</t>
  </si>
  <si>
    <t xml:space="preserve">WIN-05</t>
  </si>
  <si>
    <t xml:space="preserve">Interior + Exterior combo</t>
  </si>
  <si>
    <t xml:space="preserve">Both sides</t>
  </si>
  <si>
    <t xml:space="preserve">PRE-01</t>
  </si>
  <si>
    <t xml:space="preserve">Pressure Washing</t>
  </si>
  <si>
    <t xml:space="preserve">Driveway / concrete</t>
  </si>
  <si>
    <t xml:space="preserve">per sq ft</t>
  </si>
  <si>
    <t xml:space="preserve">Up to 3000 PSI</t>
  </si>
  <si>
    <t xml:space="preserve">PRE-02</t>
  </si>
  <si>
    <t xml:space="preserve">House siding / exterior</t>
  </si>
  <si>
    <t xml:space="preserve">Soft wash available</t>
  </si>
  <si>
    <t xml:space="preserve">PRE-03</t>
  </si>
  <si>
    <t xml:space="preserve">Deck / wood surface</t>
  </si>
  <si>
    <t xml:space="preserve">Includes pre-treat</t>
  </si>
  <si>
    <t xml:space="preserve">PRE-04</t>
  </si>
  <si>
    <t xml:space="preserve">Fence — vinyl/wood</t>
  </si>
  <si>
    <t xml:space="preserve">per linear ft</t>
  </si>
  <si>
    <t xml:space="preserve">PRE-05</t>
  </si>
  <si>
    <t xml:space="preserve">Roof soft wash</t>
  </si>
  <si>
    <t xml:space="preserve">Low pressure method</t>
  </si>
  <si>
    <t xml:space="preserve">PKG-01</t>
  </si>
  <si>
    <t xml:space="preserve">Package Deal</t>
  </si>
  <si>
    <t xml:space="preserve">Window + Pressure combo</t>
  </si>
  <si>
    <t xml:space="preserve">Flat / custom</t>
  </si>
  <si>
    <t xml:space="preserve">Quote per site visit</t>
  </si>
  <si>
    <t xml:space="preserve">PKG-02</t>
  </si>
  <si>
    <t xml:space="preserve">Recurring monthly contract</t>
  </si>
  <si>
    <t xml:space="preserve">Monthly flat</t>
  </si>
  <si>
    <t xml:space="preserve">Min 3-month commitment</t>
  </si>
  <si>
    <t xml:space="preserve">🤖  AI-PROWLER QUICK COMMAND REFERENCE</t>
  </si>
  <si>
    <t xml:space="preserve">ROUTING &amp; MAPPING</t>
  </si>
  <si>
    <t xml:space="preserve">Task</t>
  </si>
  <si>
    <t xml:space="preserve">Example Prompt for AI-Prowler</t>
  </si>
  <si>
    <t xml:space="preserve">Tool Used</t>
  </si>
  <si>
    <t xml:space="preserve">Sheet Updated</t>
  </si>
  <si>
    <t xml:space="preserve">Geocode new customer address</t>
  </si>
  <si>
    <t xml:space="preserve">Geocode this address: 125 Harbor Blvd, NSB FL 32168</t>
  </si>
  <si>
    <t xml:space="preserve">geocode_address</t>
  </si>
  <si>
    <t xml:space="preserve">Customers col M,N / Jobs_Schedule col I,J</t>
  </si>
  <si>
    <t xml:space="preserve">Build route map URL</t>
  </si>
  <si>
    <t xml:space="preserve">Build a Google Maps URL for my Monday March 30 stops</t>
  </si>
  <si>
    <t xml:space="preserve">build_maps_url</t>
  </si>
  <si>
    <t xml:space="preserve">Route_Planner col R</t>
  </si>
  <si>
    <t xml:space="preserve">Optimize stop order</t>
  </si>
  <si>
    <t xml:space="preserve">Optimize my route for Monday March 30 starting from [depot address]</t>
  </si>
  <si>
    <t xml:space="preserve">get_route_optimization</t>
  </si>
  <si>
    <t xml:space="preserve">Route_Planner col C</t>
  </si>
  <si>
    <t xml:space="preserve">SCHEDULING</t>
  </si>
  <si>
    <t xml:space="preserve">Schedule a new job</t>
  </si>
  <si>
    <t xml:space="preserve">Schedule window washing for CUST-0002 on April 5 at 9am</t>
  </si>
  <si>
    <t xml:space="preserve">update_job_spreadsheet</t>
  </si>
  <si>
    <t xml:space="preserve">Jobs_Schedule</t>
  </si>
  <si>
    <t xml:space="preserve">Check weather before job</t>
  </si>
  <si>
    <t xml:space="preserve">What's the weather forecast for New Smyrna Beach on April 5?</t>
  </si>
  <si>
    <t xml:space="preserve">get_weather</t>
  </si>
  <si>
    <t xml:space="preserve">Jobs_Schedule col V</t>
  </si>
  <si>
    <t xml:space="preserve">List jobs for a date</t>
  </si>
  <si>
    <t xml:space="preserve">Show me all jobs scheduled for Monday March 30</t>
  </si>
  <si>
    <t xml:space="preserve">search_documents</t>
  </si>
  <si>
    <t xml:space="preserve">INVOICING</t>
  </si>
  <si>
    <t xml:space="preserve">Mark job complete</t>
  </si>
  <si>
    <t xml:space="preserve">Mark JOB-0001 as completed with actual duration 85 min</t>
  </si>
  <si>
    <t xml:space="preserve">Jobs_Schedule col S,W</t>
  </si>
  <si>
    <t xml:space="preserve">Create invoice</t>
  </si>
  <si>
    <t xml:space="preserve">Create invoice for all completed jobs on March 30</t>
  </si>
  <si>
    <t xml:space="preserve">Invoices</t>
  </si>
  <si>
    <t xml:space="preserve">Find unpaid invoices</t>
  </si>
  <si>
    <t xml:space="preserve">Show me all overdue unpaid invoices</t>
  </si>
  <si>
    <t xml:space="preserve">CUSTOMER MANAGEMENT</t>
  </si>
  <si>
    <t xml:space="preserve">Look up customer</t>
  </si>
  <si>
    <t xml:space="preserve">Find the service history for Harbor Inn Motel</t>
  </si>
  <si>
    <t xml:space="preserve">Customers / Jobs_Schedule</t>
  </si>
  <si>
    <t xml:space="preserve">Recurring schedule</t>
  </si>
  <si>
    <t xml:space="preserve">Which customers are due for service this week?</t>
  </si>
  <si>
    <t xml:space="preserve">Revenue report</t>
  </si>
  <si>
    <t xml:space="preserve">What is total revenue collected this month?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</si>
</sst>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%"/>
    <numFmt numFmtId="167" formatCode="mm/dd/yyyy"/>
    <numFmt numFmtId="168" formatCode="0.00\x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00000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75B6"/>
        <bgColor rgb="FF0066CC"/>
      </patternFill>
    </fill>
    <fill>
      <patternFill patternType="solid">
        <fgColor rgb="FFFFD966"/>
        <bgColor rgb="FFFFFF99"/>
      </patternFill>
    </fill>
    <fill>
      <patternFill patternType="solid">
        <fgColor rgb="FFDEEAF1"/>
        <bgColor rgb="FFE2EFDA"/>
      </patternFill>
    </fill>
    <fill>
      <patternFill patternType="solid">
        <fgColor rgb="FFBDD7EE"/>
        <bgColor rgb="FFB8CCE4"/>
      </patternFill>
    </fill>
    <fill>
      <patternFill patternType="solid">
        <fgColor rgb="FF9DC3E6"/>
        <bgColor rgb="FFB8CCE4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8CCE4"/>
      </left>
      <right style="thin">
        <color rgb="FFB8CCE4"/>
      </right>
      <top style="thin">
        <color rgb="FFB8CCE4"/>
      </top>
      <bottom style="thin">
        <color rgb="FFB8CCE4"/>
      </bottom>
      <diagonal/>
    </border>
    <border diagonalUp="false" diagonalDown="false">
      <left style="thin">
        <color rgb="FFB8CCE4"/>
      </left>
      <right style="thin">
        <color rgb="FFB8CCE4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5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6" fontId="7" fillId="6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7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4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8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2" fillId="7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3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12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E2EFDA"/>
        </patternFill>
      </fill>
    </dxf>
    <dxf>
      <font>
        <name val="Arial"/>
        <charset val="1"/>
        <family val="0"/>
        <color rgb="FFC00000"/>
        <sz val="9"/>
      </font>
      <fill>
        <patternFill>
          <bgColor rgb="FFFCE4D6"/>
        </patternFill>
      </fill>
    </dxf>
    <dxf>
      <font>
        <name val="Arial"/>
        <charset val="1"/>
        <family val="0"/>
        <b val="1"/>
        <color rgb="FFC00000"/>
        <sz val="9"/>
      </font>
      <fill>
        <patternFill>
          <bgColor rgb="FFFCE4D6"/>
        </patternFill>
      </fill>
    </dxf>
    <dxf>
      <font>
        <name val="Arial"/>
        <charset val="1"/>
        <family val="0"/>
        <color rgb="FF375623"/>
        <sz val="9"/>
      </font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8CCE4"/>
      <rgbColor rgb="FF808080"/>
      <rgbColor rgb="FF9999FF"/>
      <rgbColor rgb="FF7030A0"/>
      <rgbColor rgb="FFFCE4D6"/>
      <rgbColor rgb="FFDEEAF1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DC3E6"/>
      <rgbColor rgb="FFFF99CC"/>
      <rgbColor rgb="FFCC99FF"/>
      <rgbColor rgb="FFFFD966"/>
      <rgbColor rgb="FF2E75B6"/>
      <rgbColor rgb="FF33CCCC"/>
      <rgbColor rgb="FF99CC00"/>
      <rgbColor rgb="FFFFCC00"/>
      <rgbColor rgb="FFFF9900"/>
      <rgbColor rgb="FFFF6600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7562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B8" activeCellId="0" sqref="B8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12"/>
    <col collapsed="false" customWidth="true" hidden="false" outlineLevel="0" max="4" min="4" style="0" width="22"/>
    <col collapsed="false" customWidth="true" hidden="false" outlineLevel="0" max="6" min="5" style="0" width="13"/>
    <col collapsed="false" customWidth="true" hidden="false" outlineLevel="0" max="7" min="7" style="0" width="14"/>
    <col collapsed="false" customWidth="true" hidden="false" outlineLevel="0" max="8" min="8" style="0" width="24"/>
    <col collapsed="false" customWidth="true" hidden="false" outlineLevel="0" max="9" min="9" style="0" width="22"/>
    <col collapsed="false" customWidth="true" hidden="false" outlineLevel="0" max="10" min="10" style="0" width="15"/>
    <col collapsed="false" customWidth="true" hidden="false" outlineLevel="0" max="11" min="11" style="0" width="7"/>
    <col collapsed="false" customWidth="true" hidden="false" outlineLevel="0" max="12" min="12" style="0" width="10"/>
    <col collapsed="false" customWidth="true" hidden="false" outlineLevel="0" max="14" min="13" style="0" width="12"/>
    <col collapsed="false" customWidth="true" hidden="false" outlineLevel="0" max="15" min="15" style="0" width="16"/>
    <col collapsed="false" customWidth="true" hidden="false" outlineLevel="0" max="16" min="16" style="0" width="12"/>
    <col collapsed="false" customWidth="true" hidden="false" outlineLevel="0" max="17" min="17" style="0" width="14"/>
    <col collapsed="false" customWidth="true" hidden="false" outlineLevel="0" max="18" min="18" style="0" width="13"/>
    <col collapsed="false" customWidth="true" hidden="false" outlineLevel="0" max="19" min="19" style="0" width="10"/>
    <col collapsed="false" customWidth="true" hidden="false" outlineLevel="0" max="20" min="20" style="0" width="13"/>
    <col collapsed="false" customWidth="true" hidden="false" outlineLevel="0" max="21" min="21" style="0" width="10"/>
    <col collapsed="false" customWidth="true" hidden="false" outlineLevel="0" max="22" min="22" style="0" width="13"/>
    <col collapsed="false" customWidth="true" hidden="false" outlineLevel="0" max="24" min="23" style="0" width="14"/>
    <col collapsed="false" customWidth="true" hidden="false" outlineLevel="0" max="25" min="25" style="0" width="12"/>
    <col collapsed="false" customWidth="true" hidden="false" outlineLevel="0" max="26" min="26" style="0" width="14"/>
    <col collapsed="false" customWidth="true" hidden="false" outlineLevel="0" max="27" min="27" style="0" width="22"/>
    <col collapsed="false" customWidth="true" hidden="false" outlineLevel="0" max="28" min="28" style="0" width="16"/>
    <col collapsed="false" customWidth="true" hidden="false" outlineLevel="0" max="29" min="29" style="0" width="12"/>
  </cols>
  <sheetData>
    <row r="1" customFormat="false" ht="13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customFormat="false" ht="42" hidden="false" customHeight="tru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2" t="s">
        <v>14</v>
      </c>
      <c r="O2" s="2" t="s">
        <v>15</v>
      </c>
      <c r="P2" s="2" t="s">
        <v>16</v>
      </c>
      <c r="Q2" s="2" t="s">
        <v>17</v>
      </c>
      <c r="R2" s="2" t="s">
        <v>18</v>
      </c>
      <c r="S2" s="2" t="s">
        <v>19</v>
      </c>
      <c r="T2" s="2" t="s">
        <v>20</v>
      </c>
      <c r="U2" s="2" t="s">
        <v>21</v>
      </c>
      <c r="V2" s="2" t="s">
        <v>22</v>
      </c>
      <c r="W2" s="2" t="s">
        <v>23</v>
      </c>
      <c r="X2" s="2" t="s">
        <v>24</v>
      </c>
      <c r="Y2" s="2" t="s">
        <v>25</v>
      </c>
      <c r="Z2" s="2" t="s">
        <v>26</v>
      </c>
      <c r="AA2" s="2" t="s">
        <v>27</v>
      </c>
      <c r="AB2" s="2" t="s">
        <v>28</v>
      </c>
    </row>
    <row r="3" customFormat="false" ht="22.5" hidden="false" customHeight="true" outlineLevel="0" collapsed="false">
      <c r="A3" s="4" t="s">
        <v>29</v>
      </c>
      <c r="B3" s="4" t="s">
        <v>30</v>
      </c>
      <c r="C3" s="4" t="s">
        <v>31</v>
      </c>
      <c r="D3" s="4" t="s">
        <v>32</v>
      </c>
      <c r="E3" s="4" t="s">
        <v>33</v>
      </c>
      <c r="F3" s="4" t="s">
        <v>34</v>
      </c>
      <c r="G3" s="4" t="s">
        <v>35</v>
      </c>
      <c r="H3" s="5" t="s">
        <v>36</v>
      </c>
      <c r="I3" s="5" t="s">
        <v>37</v>
      </c>
      <c r="J3" s="5" t="s">
        <v>38</v>
      </c>
      <c r="K3" s="5" t="s">
        <v>39</v>
      </c>
      <c r="L3" s="5"/>
      <c r="M3" s="5"/>
      <c r="N3" s="4" t="s">
        <v>40</v>
      </c>
      <c r="O3" s="4" t="s">
        <v>41</v>
      </c>
      <c r="P3" s="4" t="s">
        <v>42</v>
      </c>
      <c r="Q3" s="4" t="s">
        <v>43</v>
      </c>
      <c r="R3" s="4" t="n">
        <v>90</v>
      </c>
      <c r="S3" s="6" t="n">
        <v>350</v>
      </c>
      <c r="T3" s="7" t="n">
        <v>0.1</v>
      </c>
      <c r="U3" s="6" t="n">
        <f aca="false">S3*(1-T3)</f>
        <v>315</v>
      </c>
      <c r="V3" s="8"/>
      <c r="W3" s="8"/>
      <c r="X3" s="9"/>
      <c r="Y3" s="6" t="n">
        <f aca="false">U3</f>
        <v>315</v>
      </c>
      <c r="Z3" s="4" t="s">
        <v>44</v>
      </c>
      <c r="AA3" s="4" t="s">
        <v>45</v>
      </c>
      <c r="AB3" s="4" t="s">
        <v>46</v>
      </c>
    </row>
    <row r="4" customFormat="false" ht="22.35" hidden="false" customHeight="false" outlineLevel="0" collapsed="false">
      <c r="A4" s="10" t="s">
        <v>47</v>
      </c>
      <c r="B4" s="10" t="s">
        <v>48</v>
      </c>
      <c r="C4" s="10"/>
      <c r="D4" s="10" t="s">
        <v>49</v>
      </c>
      <c r="E4" s="10" t="s">
        <v>50</v>
      </c>
      <c r="F4" s="10" t="s">
        <v>51</v>
      </c>
      <c r="G4" s="10" t="s">
        <v>52</v>
      </c>
      <c r="H4" s="5" t="s">
        <v>53</v>
      </c>
      <c r="I4" s="5" t="s">
        <v>54</v>
      </c>
      <c r="J4" s="5" t="s">
        <v>38</v>
      </c>
      <c r="K4" s="5" t="s">
        <v>55</v>
      </c>
      <c r="L4" s="5"/>
      <c r="M4" s="5"/>
      <c r="N4" s="10" t="s">
        <v>56</v>
      </c>
      <c r="O4" s="10" t="s">
        <v>57</v>
      </c>
      <c r="P4" s="10" t="s">
        <v>58</v>
      </c>
      <c r="Q4" s="10" t="s">
        <v>59</v>
      </c>
      <c r="R4" s="10" t="n">
        <v>60</v>
      </c>
      <c r="S4" s="11" t="n">
        <v>185</v>
      </c>
      <c r="T4" s="12" t="n">
        <v>0</v>
      </c>
      <c r="U4" s="11" t="n">
        <f aca="false">S4*(1-T4)</f>
        <v>185</v>
      </c>
      <c r="V4" s="13"/>
      <c r="W4" s="13"/>
      <c r="X4" s="14"/>
      <c r="Y4" s="11" t="n">
        <f aca="false">U4</f>
        <v>185</v>
      </c>
      <c r="Z4" s="10" t="s">
        <v>60</v>
      </c>
      <c r="AA4" s="10"/>
      <c r="AB4" s="10" t="s">
        <v>46</v>
      </c>
    </row>
    <row r="5" customFormat="false" ht="22.5" hidden="false" customHeight="true" outlineLevel="0" collapsed="false">
      <c r="A5" s="4" t="s">
        <v>61</v>
      </c>
      <c r="B5" s="4" t="s">
        <v>30</v>
      </c>
      <c r="C5" s="4" t="s">
        <v>62</v>
      </c>
      <c r="D5" s="4" t="s">
        <v>63</v>
      </c>
      <c r="E5" s="4" t="s">
        <v>64</v>
      </c>
      <c r="F5" s="4" t="s">
        <v>65</v>
      </c>
      <c r="G5" s="4" t="s">
        <v>66</v>
      </c>
      <c r="H5" s="5" t="s">
        <v>67</v>
      </c>
      <c r="I5" s="5" t="s">
        <v>37</v>
      </c>
      <c r="J5" s="5" t="s">
        <v>38</v>
      </c>
      <c r="K5" s="5" t="s">
        <v>39</v>
      </c>
      <c r="L5" s="5"/>
      <c r="M5" s="5"/>
      <c r="N5" s="4" t="s">
        <v>56</v>
      </c>
      <c r="O5" s="4" t="s">
        <v>41</v>
      </c>
      <c r="P5" s="4" t="s">
        <v>68</v>
      </c>
      <c r="Q5" s="4" t="s">
        <v>69</v>
      </c>
      <c r="R5" s="4" t="n">
        <v>45</v>
      </c>
      <c r="S5" s="6" t="n">
        <v>220</v>
      </c>
      <c r="T5" s="7" t="n">
        <v>0.05</v>
      </c>
      <c r="U5" s="6" t="n">
        <f aca="false">S5*(1-T5)</f>
        <v>209</v>
      </c>
      <c r="V5" s="8"/>
      <c r="W5" s="8"/>
      <c r="X5" s="9"/>
      <c r="Y5" s="6" t="n">
        <f aca="false">U5</f>
        <v>209</v>
      </c>
      <c r="Z5" s="4" t="s">
        <v>70</v>
      </c>
      <c r="AA5" s="4" t="s">
        <v>71</v>
      </c>
      <c r="AB5" s="4" t="s">
        <v>46</v>
      </c>
    </row>
    <row r="6" customFormat="false" ht="22.35" hidden="false" customHeight="false" outlineLevel="0" collapsed="false">
      <c r="A6" s="10" t="s">
        <v>72</v>
      </c>
      <c r="B6" s="10" t="s">
        <v>48</v>
      </c>
      <c r="C6" s="10"/>
      <c r="D6" s="10" t="s">
        <v>73</v>
      </c>
      <c r="E6" s="10" t="s">
        <v>74</v>
      </c>
      <c r="F6" s="10" t="s">
        <v>75</v>
      </c>
      <c r="G6" s="10" t="s">
        <v>76</v>
      </c>
      <c r="H6" s="5" t="s">
        <v>77</v>
      </c>
      <c r="I6" s="5" t="s">
        <v>78</v>
      </c>
      <c r="J6" s="5" t="s">
        <v>38</v>
      </c>
      <c r="K6" s="5" t="s">
        <v>79</v>
      </c>
      <c r="L6" s="5"/>
      <c r="M6" s="5"/>
      <c r="N6" s="10" t="s">
        <v>80</v>
      </c>
      <c r="O6" s="10" t="s">
        <v>81</v>
      </c>
      <c r="P6" s="10" t="s">
        <v>82</v>
      </c>
      <c r="Q6" s="10" t="s">
        <v>83</v>
      </c>
      <c r="R6" s="10" t="n">
        <v>75</v>
      </c>
      <c r="S6" s="11" t="n">
        <v>160</v>
      </c>
      <c r="T6" s="12" t="n">
        <v>0</v>
      </c>
      <c r="U6" s="11" t="n">
        <f aca="false">S6*(1-T6)</f>
        <v>160</v>
      </c>
      <c r="V6" s="13"/>
      <c r="W6" s="13"/>
      <c r="X6" s="14"/>
      <c r="Y6" s="11" t="n">
        <f aca="false">U6</f>
        <v>160</v>
      </c>
      <c r="Z6" s="10" t="s">
        <v>84</v>
      </c>
      <c r="AA6" s="10"/>
      <c r="AB6" s="10" t="s">
        <v>46</v>
      </c>
    </row>
    <row r="7" customFormat="false" ht="22.5" hidden="false" customHeight="true" outlineLevel="0" collapsed="false">
      <c r="A7" s="4" t="s">
        <v>85</v>
      </c>
      <c r="B7" s="4" t="s">
        <v>30</v>
      </c>
      <c r="C7" s="4" t="s">
        <v>86</v>
      </c>
      <c r="D7" s="4" t="s">
        <v>87</v>
      </c>
      <c r="E7" s="4" t="s">
        <v>88</v>
      </c>
      <c r="F7" s="4" t="s">
        <v>89</v>
      </c>
      <c r="G7" s="4" t="s">
        <v>90</v>
      </c>
      <c r="H7" s="5" t="s">
        <v>91</v>
      </c>
      <c r="I7" s="5" t="s">
        <v>37</v>
      </c>
      <c r="J7" s="5" t="s">
        <v>38</v>
      </c>
      <c r="K7" s="5" t="s">
        <v>39</v>
      </c>
      <c r="L7" s="5"/>
      <c r="M7" s="5"/>
      <c r="N7" s="4" t="s">
        <v>40</v>
      </c>
      <c r="O7" s="4" t="s">
        <v>81</v>
      </c>
      <c r="P7" s="4" t="s">
        <v>92</v>
      </c>
      <c r="Q7" s="4" t="s">
        <v>93</v>
      </c>
      <c r="R7" s="4" t="n">
        <v>150</v>
      </c>
      <c r="S7" s="6" t="n">
        <v>625</v>
      </c>
      <c r="T7" s="7" t="n">
        <v>0.15</v>
      </c>
      <c r="U7" s="6" t="n">
        <f aca="false">S7*(1-T7)</f>
        <v>531.25</v>
      </c>
      <c r="V7" s="8"/>
      <c r="W7" s="8"/>
      <c r="X7" s="9"/>
      <c r="Y7" s="6" t="n">
        <f aca="false">U7</f>
        <v>531.25</v>
      </c>
      <c r="Z7" s="4" t="s">
        <v>94</v>
      </c>
      <c r="AA7" s="4" t="s">
        <v>95</v>
      </c>
      <c r="AB7" s="4" t="s">
        <v>46</v>
      </c>
    </row>
    <row r="8" customFormat="false" ht="14.25" hidden="false" customHeight="false" outlineLevel="0" collapsed="false">
      <c r="A8" s="15" t="s">
        <v>96</v>
      </c>
    </row>
  </sheetData>
  <mergeCells count="1">
    <mergeCell ref="A1:AC1"/>
  </mergeCells>
  <dataValidations count="4">
    <dataValidation allowBlank="true" errorStyle="stop" operator="between" showDropDown="false" showErrorMessage="false" showInputMessage="false" sqref="C3:C300" type="list">
      <formula1>"Commercial,Residential"</formula1>
      <formula2>0</formula2>
    </dataValidation>
    <dataValidation allowBlank="true" errorStyle="stop" operator="between" showDropDown="false" showErrorMessage="false" showInputMessage="false" sqref="P3:P300" type="list">
      <formula1>"Weekly,Biweekly,Monthly,Quarterly,One-Time"</formula1>
      <formula2>0</formula2>
    </dataValidation>
    <dataValidation allowBlank="true" errorStyle="stop" operator="between" showDropDown="false" showErrorMessage="false" showInputMessage="false" sqref="O3:O300" type="list">
      <formula1>"Window,Pressure,Both"</formula1>
      <formula2>0</formula2>
    </dataValidation>
    <dataValidation allowBlank="true" errorStyle="stop" operator="between" showDropDown="false" showErrorMessage="false" showInputMessage="false" sqref="AC3:AC300" type="list">
      <formula1>"Active,Inactive,Prospect"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false"/>
  </sheetPr>
  <dimension ref="A1:AF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5"/>
    <col collapsed="false" customWidth="true" hidden="false" outlineLevel="0" max="7" min="7" style="0" width="7"/>
    <col collapsed="false" customWidth="true" hidden="false" outlineLevel="0" max="8" min="8" style="0" width="10"/>
    <col collapsed="false" customWidth="true" hidden="false" outlineLevel="0" max="10" min="9" style="0" width="12"/>
    <col collapsed="false" customWidth="true" hidden="false" outlineLevel="0" max="11" min="11" style="0" width="13"/>
    <col collapsed="false" customWidth="true" hidden="false" outlineLevel="0" max="14" min="12" style="0" width="11"/>
    <col collapsed="false" customWidth="true" hidden="false" outlineLevel="0" max="15" min="15" style="0" width="14"/>
    <col collapsed="false" customWidth="true" hidden="false" outlineLevel="0" max="16" min="16" style="0" width="28"/>
    <col collapsed="false" customWidth="true" hidden="false" outlineLevel="0" max="17" min="17" style="0" width="14"/>
    <col collapsed="false" customWidth="true" hidden="false" outlineLevel="0" max="19" min="18" style="0" width="12"/>
    <col collapsed="false" customWidth="true" hidden="false" outlineLevel="0" max="20" min="20" style="0" width="11"/>
    <col collapsed="false" customWidth="true" hidden="false" outlineLevel="0" max="21" min="21" style="0" width="18"/>
    <col collapsed="false" customWidth="true" hidden="false" outlineLevel="0" max="23" min="22" style="0" width="14"/>
    <col collapsed="false" customWidth="true" hidden="false" outlineLevel="0" max="26" min="24" style="0" width="13"/>
    <col collapsed="false" customWidth="true" hidden="false" outlineLevel="0" max="27" min="27" style="0" width="11"/>
    <col collapsed="false" customWidth="true" hidden="false" outlineLevel="0" max="28" min="28" style="0" width="13"/>
    <col collapsed="false" customWidth="true" hidden="false" outlineLevel="0" max="29" min="29" style="0" width="14"/>
    <col collapsed="false" customWidth="true" hidden="false" outlineLevel="0" max="31" min="30" style="0" width="13"/>
    <col collapsed="false" customWidth="true" hidden="false" outlineLevel="0" max="32" min="32" style="0" width="11"/>
  </cols>
  <sheetData>
    <row r="1" customFormat="false" ht="13.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customFormat="false" ht="48" hidden="false" customHeight="true" outlineLevel="0" collapsed="false">
      <c r="A2" s="2" t="s">
        <v>98</v>
      </c>
      <c r="B2" s="2" t="s">
        <v>99</v>
      </c>
      <c r="C2" s="2" t="s">
        <v>100</v>
      </c>
      <c r="D2" s="2" t="s">
        <v>101</v>
      </c>
      <c r="E2" s="3" t="s">
        <v>102</v>
      </c>
      <c r="F2" s="3" t="s">
        <v>9</v>
      </c>
      <c r="G2" s="3" t="s">
        <v>10</v>
      </c>
      <c r="H2" s="3" t="s">
        <v>11</v>
      </c>
      <c r="I2" s="3" t="s">
        <v>12</v>
      </c>
      <c r="J2" s="3" t="s">
        <v>13</v>
      </c>
      <c r="K2" s="2" t="s">
        <v>103</v>
      </c>
      <c r="L2" s="2" t="s">
        <v>104</v>
      </c>
      <c r="M2" s="2" t="s">
        <v>105</v>
      </c>
      <c r="N2" s="2" t="s">
        <v>106</v>
      </c>
      <c r="O2" s="2" t="s">
        <v>107</v>
      </c>
      <c r="P2" s="2" t="s">
        <v>108</v>
      </c>
      <c r="Q2" s="2" t="s">
        <v>109</v>
      </c>
      <c r="R2" s="2" t="s">
        <v>110</v>
      </c>
      <c r="S2" s="2" t="s">
        <v>111</v>
      </c>
      <c r="T2" s="3" t="s">
        <v>112</v>
      </c>
      <c r="U2" s="3" t="s">
        <v>113</v>
      </c>
      <c r="V2" s="3" t="s">
        <v>114</v>
      </c>
      <c r="W2" s="2" t="s">
        <v>115</v>
      </c>
      <c r="X2" s="2" t="s">
        <v>116</v>
      </c>
      <c r="Y2" s="2" t="s">
        <v>117</v>
      </c>
      <c r="Z2" s="2" t="s">
        <v>118</v>
      </c>
      <c r="AA2" s="2" t="s">
        <v>119</v>
      </c>
      <c r="AB2" s="2" t="s">
        <v>120</v>
      </c>
      <c r="AC2" s="2" t="s">
        <v>121</v>
      </c>
      <c r="AD2" s="2" t="s">
        <v>122</v>
      </c>
      <c r="AE2" s="2" t="s">
        <v>123</v>
      </c>
    </row>
    <row r="3" customFormat="false" ht="22.5" hidden="false" customHeight="true" outlineLevel="0" collapsed="false">
      <c r="A3" s="4" t="s">
        <v>124</v>
      </c>
      <c r="B3" s="4" t="s">
        <v>29</v>
      </c>
      <c r="C3" s="4" t="s">
        <v>31</v>
      </c>
      <c r="D3" s="4" t="s">
        <v>30</v>
      </c>
      <c r="E3" s="5" t="s">
        <v>36</v>
      </c>
      <c r="F3" s="5" t="s">
        <v>37</v>
      </c>
      <c r="G3" s="5" t="s">
        <v>38</v>
      </c>
      <c r="H3" s="5" t="s">
        <v>39</v>
      </c>
      <c r="I3" s="5"/>
      <c r="J3" s="5"/>
      <c r="K3" s="8" t="s">
        <v>125</v>
      </c>
      <c r="L3" s="4" t="s">
        <v>126</v>
      </c>
      <c r="M3" s="4" t="s">
        <v>127</v>
      </c>
      <c r="N3" s="4" t="s">
        <v>128</v>
      </c>
      <c r="O3" s="4" t="s">
        <v>56</v>
      </c>
      <c r="P3" s="4" t="s">
        <v>129</v>
      </c>
      <c r="Q3" s="4" t="s">
        <v>130</v>
      </c>
      <c r="R3" s="4" t="n">
        <v>90</v>
      </c>
      <c r="S3" s="4"/>
      <c r="T3" s="5" t="n">
        <v>1</v>
      </c>
      <c r="U3" s="5"/>
      <c r="V3" s="5"/>
      <c r="W3" s="4" t="s">
        <v>131</v>
      </c>
      <c r="X3" s="6" t="n">
        <v>350</v>
      </c>
      <c r="Y3" s="6"/>
      <c r="Z3" s="6" t="n">
        <v>0</v>
      </c>
      <c r="AA3" s="6" t="n">
        <f aca="false">Y3*0.07</f>
        <v>0</v>
      </c>
      <c r="AB3" s="6" t="n">
        <f aca="false">Y3+AA3</f>
        <v>0</v>
      </c>
      <c r="AC3" s="4"/>
      <c r="AD3" s="8"/>
      <c r="AE3" s="4" t="s">
        <v>132</v>
      </c>
    </row>
    <row r="4" customFormat="false" ht="22.5" hidden="false" customHeight="true" outlineLevel="0" collapsed="false">
      <c r="A4" s="10" t="s">
        <v>133</v>
      </c>
      <c r="B4" s="10" t="s">
        <v>61</v>
      </c>
      <c r="C4" s="10" t="s">
        <v>62</v>
      </c>
      <c r="D4" s="10" t="s">
        <v>30</v>
      </c>
      <c r="E4" s="5" t="s">
        <v>67</v>
      </c>
      <c r="F4" s="5" t="s">
        <v>37</v>
      </c>
      <c r="G4" s="5" t="s">
        <v>38</v>
      </c>
      <c r="H4" s="5" t="s">
        <v>39</v>
      </c>
      <c r="I4" s="5"/>
      <c r="J4" s="5"/>
      <c r="K4" s="13" t="s">
        <v>125</v>
      </c>
      <c r="L4" s="10" t="s">
        <v>126</v>
      </c>
      <c r="M4" s="10" t="s">
        <v>134</v>
      </c>
      <c r="N4" s="10" t="s">
        <v>135</v>
      </c>
      <c r="O4" s="10" t="s">
        <v>56</v>
      </c>
      <c r="P4" s="10" t="s">
        <v>136</v>
      </c>
      <c r="Q4" s="10" t="s">
        <v>130</v>
      </c>
      <c r="R4" s="10" t="n">
        <v>45</v>
      </c>
      <c r="S4" s="10"/>
      <c r="T4" s="5" t="n">
        <v>2</v>
      </c>
      <c r="U4" s="5"/>
      <c r="V4" s="5"/>
      <c r="W4" s="10" t="s">
        <v>131</v>
      </c>
      <c r="X4" s="11" t="n">
        <v>220</v>
      </c>
      <c r="Y4" s="11"/>
      <c r="Z4" s="11" t="n">
        <v>0</v>
      </c>
      <c r="AA4" s="11" t="n">
        <f aca="false">Y4*0.07</f>
        <v>0</v>
      </c>
      <c r="AB4" s="11" t="n">
        <f aca="false">Y4+AA4</f>
        <v>0</v>
      </c>
      <c r="AC4" s="10"/>
      <c r="AD4" s="13"/>
      <c r="AE4" s="10" t="s">
        <v>132</v>
      </c>
    </row>
    <row r="5" customFormat="false" ht="22.5" hidden="false" customHeight="true" outlineLevel="0" collapsed="false">
      <c r="A5" s="4" t="s">
        <v>137</v>
      </c>
      <c r="B5" s="4" t="s">
        <v>85</v>
      </c>
      <c r="C5" s="4" t="s">
        <v>86</v>
      </c>
      <c r="D5" s="4" t="s">
        <v>30</v>
      </c>
      <c r="E5" s="5" t="s">
        <v>91</v>
      </c>
      <c r="F5" s="5" t="s">
        <v>37</v>
      </c>
      <c r="G5" s="5" t="s">
        <v>38</v>
      </c>
      <c r="H5" s="5" t="s">
        <v>39</v>
      </c>
      <c r="I5" s="5"/>
      <c r="J5" s="5"/>
      <c r="K5" s="8" t="s">
        <v>125</v>
      </c>
      <c r="L5" s="4" t="s">
        <v>126</v>
      </c>
      <c r="M5" s="4" t="s">
        <v>138</v>
      </c>
      <c r="N5" s="4" t="s">
        <v>139</v>
      </c>
      <c r="O5" s="4" t="s">
        <v>40</v>
      </c>
      <c r="P5" s="4" t="s">
        <v>140</v>
      </c>
      <c r="Q5" s="4" t="s">
        <v>130</v>
      </c>
      <c r="R5" s="4" t="n">
        <v>150</v>
      </c>
      <c r="S5" s="4"/>
      <c r="T5" s="5" t="n">
        <v>3</v>
      </c>
      <c r="U5" s="5"/>
      <c r="V5" s="5"/>
      <c r="W5" s="4" t="s">
        <v>131</v>
      </c>
      <c r="X5" s="6" t="n">
        <v>625</v>
      </c>
      <c r="Y5" s="6"/>
      <c r="Z5" s="6" t="n">
        <v>0</v>
      </c>
      <c r="AA5" s="6" t="n">
        <f aca="false">Y5*0.07</f>
        <v>0</v>
      </c>
      <c r="AB5" s="6" t="n">
        <f aca="false">Y5+AA5</f>
        <v>0</v>
      </c>
      <c r="AC5" s="4"/>
      <c r="AD5" s="8"/>
      <c r="AE5" s="4" t="s">
        <v>132</v>
      </c>
    </row>
    <row r="6" customFormat="false" ht="22.5" hidden="false" customHeight="true" outlineLevel="0" collapsed="false">
      <c r="A6" s="10" t="s">
        <v>141</v>
      </c>
      <c r="B6" s="10" t="s">
        <v>47</v>
      </c>
      <c r="C6" s="10" t="s">
        <v>142</v>
      </c>
      <c r="D6" s="10" t="s">
        <v>48</v>
      </c>
      <c r="E6" s="5" t="s">
        <v>53</v>
      </c>
      <c r="F6" s="5" t="s">
        <v>54</v>
      </c>
      <c r="G6" s="5" t="s">
        <v>38</v>
      </c>
      <c r="H6" s="5" t="s">
        <v>55</v>
      </c>
      <c r="I6" s="5"/>
      <c r="J6" s="5"/>
      <c r="K6" s="13" t="s">
        <v>143</v>
      </c>
      <c r="L6" s="10" t="s">
        <v>144</v>
      </c>
      <c r="M6" s="10" t="s">
        <v>145</v>
      </c>
      <c r="N6" s="10" t="s">
        <v>134</v>
      </c>
      <c r="O6" s="10" t="s">
        <v>56</v>
      </c>
      <c r="P6" s="10" t="s">
        <v>146</v>
      </c>
      <c r="Q6" s="10" t="s">
        <v>147</v>
      </c>
      <c r="R6" s="10" t="n">
        <v>60</v>
      </c>
      <c r="S6" s="10"/>
      <c r="T6" s="5" t="n">
        <v>1</v>
      </c>
      <c r="U6" s="5"/>
      <c r="V6" s="5"/>
      <c r="W6" s="10" t="s">
        <v>131</v>
      </c>
      <c r="X6" s="11" t="n">
        <v>185</v>
      </c>
      <c r="Y6" s="11"/>
      <c r="Z6" s="11" t="n">
        <v>0</v>
      </c>
      <c r="AA6" s="11" t="n">
        <f aca="false">Y6*0.07</f>
        <v>0</v>
      </c>
      <c r="AB6" s="11" t="n">
        <f aca="false">Y6+AA6</f>
        <v>0</v>
      </c>
      <c r="AC6" s="10"/>
      <c r="AD6" s="13"/>
      <c r="AE6" s="10" t="s">
        <v>132</v>
      </c>
    </row>
    <row r="7" customFormat="false" ht="22.5" hidden="false" customHeight="true" outlineLevel="0" collapsed="false">
      <c r="A7" s="4" t="s">
        <v>148</v>
      </c>
      <c r="B7" s="4" t="s">
        <v>72</v>
      </c>
      <c r="C7" s="4" t="s">
        <v>149</v>
      </c>
      <c r="D7" s="4" t="s">
        <v>48</v>
      </c>
      <c r="E7" s="5" t="s">
        <v>77</v>
      </c>
      <c r="F7" s="5" t="s">
        <v>78</v>
      </c>
      <c r="G7" s="5" t="s">
        <v>38</v>
      </c>
      <c r="H7" s="5" t="s">
        <v>79</v>
      </c>
      <c r="I7" s="5"/>
      <c r="J7" s="5"/>
      <c r="K7" s="8" t="s">
        <v>143</v>
      </c>
      <c r="L7" s="4" t="s">
        <v>144</v>
      </c>
      <c r="M7" s="4" t="s">
        <v>150</v>
      </c>
      <c r="N7" s="4" t="s">
        <v>151</v>
      </c>
      <c r="O7" s="4" t="s">
        <v>80</v>
      </c>
      <c r="P7" s="4" t="s">
        <v>152</v>
      </c>
      <c r="Q7" s="4" t="s">
        <v>147</v>
      </c>
      <c r="R7" s="4" t="n">
        <v>75</v>
      </c>
      <c r="S7" s="4"/>
      <c r="T7" s="5" t="n">
        <v>2</v>
      </c>
      <c r="U7" s="5"/>
      <c r="V7" s="5"/>
      <c r="W7" s="4" t="s">
        <v>131</v>
      </c>
      <c r="X7" s="6" t="n">
        <v>160</v>
      </c>
      <c r="Y7" s="6"/>
      <c r="Z7" s="6" t="n">
        <v>0</v>
      </c>
      <c r="AA7" s="6" t="n">
        <f aca="false">Y7*0.07</f>
        <v>0</v>
      </c>
      <c r="AB7" s="6" t="n">
        <f aca="false">Y7+AA7</f>
        <v>0</v>
      </c>
      <c r="AC7" s="4"/>
      <c r="AD7" s="8"/>
      <c r="AE7" s="4" t="s">
        <v>132</v>
      </c>
    </row>
  </sheetData>
  <mergeCells count="1">
    <mergeCell ref="A1:AF1"/>
  </mergeCells>
  <conditionalFormatting sqref="W3:W500">
    <cfRule type="expression" priority="2" aboveAverage="0" equalAverage="0" bottom="0" percent="0" rank="0" text="" dxfId="0">
      <formula>W3="Completed"</formula>
    </cfRule>
  </conditionalFormatting>
  <conditionalFormatting sqref="AE3:AE500">
    <cfRule type="expression" priority="3" aboveAverage="0" equalAverage="0" bottom="0" percent="0" rank="0" text="" dxfId="1">
      <formula>AE3="Overdue"</formula>
    </cfRule>
  </conditionalFormatting>
  <dataValidations count="3">
    <dataValidation allowBlank="true" errorStyle="stop" operator="between" showDropDown="false" showErrorMessage="false" showInputMessage="false" sqref="W3:W500" type="list">
      <formula1>"Quoted,Scheduled,In Progress,Completed,Invoiced,Paid,Cancelled"</formula1>
      <formula2>0</formula2>
    </dataValidation>
    <dataValidation allowBlank="true" errorStyle="stop" operator="between" showDropDown="false" showErrorMessage="false" showInputMessage="false" sqref="O3:O500" type="list">
      <formula1>"Window,Pressure,Both"</formula1>
      <formula2>0</formula2>
    </dataValidation>
    <dataValidation allowBlank="true" errorStyle="stop" operator="between" showDropDown="false" showErrorMessage="false" showInputMessage="false" sqref="AE3:AE500" type="list">
      <formula1>"Unpaid,Paid,Partial,Overdue,Voided"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R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4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7" min="6" style="0" width="22"/>
    <col collapsed="false" customWidth="true" hidden="false" outlineLevel="0" max="8" min="8" style="0" width="15"/>
    <col collapsed="false" customWidth="true" hidden="false" outlineLevel="0" max="9" min="9" style="0" width="7"/>
    <col collapsed="false" customWidth="true" hidden="false" outlineLevel="0" max="10" min="10" style="0" width="10"/>
    <col collapsed="false" customWidth="true" hidden="false" outlineLevel="0" max="14" min="11" style="0" width="12"/>
    <col collapsed="false" customWidth="true" hidden="false" outlineLevel="0" max="15" min="15" style="0" width="14"/>
    <col collapsed="false" customWidth="true" hidden="false" outlineLevel="0" max="16" min="16" style="0" width="13"/>
    <col collapsed="false" customWidth="true" hidden="false" outlineLevel="0" max="17" min="17" style="0" width="11"/>
    <col collapsed="false" customWidth="true" hidden="false" outlineLevel="0" max="18" min="18" style="0" width="30"/>
  </cols>
  <sheetData>
    <row r="1" customFormat="false" ht="13.5" hidden="false" customHeight="true" outlineLevel="0" collapsed="false">
      <c r="A1" s="1" t="s">
        <v>153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3.5" hidden="false" customHeight="true" outlineLevel="0" collapsed="false">
      <c r="A2" s="16" t="s">
        <v>154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</row>
    <row r="3" customFormat="false" ht="48" hidden="false" customHeight="true" outlineLevel="0" collapsed="false">
      <c r="A3" s="17" t="s">
        <v>155</v>
      </c>
      <c r="B3" s="17" t="s">
        <v>109</v>
      </c>
      <c r="C3" s="2" t="s">
        <v>156</v>
      </c>
      <c r="D3" s="2" t="s">
        <v>157</v>
      </c>
      <c r="E3" s="2" t="s">
        <v>158</v>
      </c>
      <c r="F3" s="2" t="s">
        <v>100</v>
      </c>
      <c r="G3" s="3" t="s">
        <v>159</v>
      </c>
      <c r="H3" s="3" t="s">
        <v>160</v>
      </c>
      <c r="I3" s="3" t="s">
        <v>10</v>
      </c>
      <c r="J3" s="3" t="s">
        <v>161</v>
      </c>
      <c r="K3" s="3" t="s">
        <v>162</v>
      </c>
      <c r="L3" s="3" t="s">
        <v>163</v>
      </c>
      <c r="M3" s="18" t="s">
        <v>164</v>
      </c>
      <c r="N3" s="18" t="s">
        <v>165</v>
      </c>
      <c r="O3" s="18" t="s">
        <v>166</v>
      </c>
      <c r="P3" s="18" t="s">
        <v>107</v>
      </c>
      <c r="Q3" s="18" t="s">
        <v>167</v>
      </c>
      <c r="R3" s="3" t="s">
        <v>168</v>
      </c>
    </row>
    <row r="4" customFormat="false" ht="22.5" hidden="false" customHeight="true" outlineLevel="0" collapsed="false">
      <c r="A4" s="13" t="s">
        <v>125</v>
      </c>
      <c r="B4" s="10" t="s">
        <v>130</v>
      </c>
      <c r="C4" s="14" t="n">
        <v>1</v>
      </c>
      <c r="D4" s="10" t="s">
        <v>124</v>
      </c>
      <c r="E4" s="10" t="s">
        <v>29</v>
      </c>
      <c r="F4" s="10" t="s">
        <v>31</v>
      </c>
      <c r="G4" s="5" t="s">
        <v>36</v>
      </c>
      <c r="H4" s="5" t="s">
        <v>37</v>
      </c>
      <c r="I4" s="5" t="s">
        <v>38</v>
      </c>
      <c r="J4" s="5" t="s">
        <v>39</v>
      </c>
      <c r="K4" s="5"/>
      <c r="L4" s="5"/>
      <c r="M4" s="10" t="s">
        <v>127</v>
      </c>
      <c r="N4" s="10" t="s">
        <v>128</v>
      </c>
      <c r="O4" s="10" t="s">
        <v>169</v>
      </c>
      <c r="P4" s="10" t="s">
        <v>56</v>
      </c>
      <c r="Q4" s="10" t="n">
        <v>90</v>
      </c>
      <c r="R4" s="5"/>
    </row>
    <row r="5" customFormat="false" ht="22.5" hidden="false" customHeight="true" outlineLevel="0" collapsed="false">
      <c r="A5" s="8" t="s">
        <v>125</v>
      </c>
      <c r="B5" s="4" t="s">
        <v>130</v>
      </c>
      <c r="C5" s="9" t="n">
        <v>2</v>
      </c>
      <c r="D5" s="4" t="s">
        <v>133</v>
      </c>
      <c r="E5" s="4" t="s">
        <v>61</v>
      </c>
      <c r="F5" s="4" t="s">
        <v>62</v>
      </c>
      <c r="G5" s="5" t="s">
        <v>67</v>
      </c>
      <c r="H5" s="5" t="s">
        <v>37</v>
      </c>
      <c r="I5" s="5" t="s">
        <v>38</v>
      </c>
      <c r="J5" s="5" t="s">
        <v>39</v>
      </c>
      <c r="K5" s="5"/>
      <c r="L5" s="5"/>
      <c r="M5" s="4" t="s">
        <v>134</v>
      </c>
      <c r="N5" s="4" t="s">
        <v>135</v>
      </c>
      <c r="O5" s="4" t="s">
        <v>170</v>
      </c>
      <c r="P5" s="4" t="s">
        <v>56</v>
      </c>
      <c r="Q5" s="4" t="n">
        <v>45</v>
      </c>
      <c r="R5" s="5"/>
    </row>
    <row r="6" customFormat="false" ht="22.5" hidden="false" customHeight="true" outlineLevel="0" collapsed="false">
      <c r="A6" s="13" t="s">
        <v>125</v>
      </c>
      <c r="B6" s="10" t="s">
        <v>130</v>
      </c>
      <c r="C6" s="14" t="n">
        <v>3</v>
      </c>
      <c r="D6" s="10" t="s">
        <v>148</v>
      </c>
      <c r="E6" s="10" t="s">
        <v>85</v>
      </c>
      <c r="F6" s="10" t="s">
        <v>86</v>
      </c>
      <c r="G6" s="5" t="s">
        <v>91</v>
      </c>
      <c r="H6" s="5" t="s">
        <v>37</v>
      </c>
      <c r="I6" s="5" t="s">
        <v>38</v>
      </c>
      <c r="J6" s="5" t="s">
        <v>39</v>
      </c>
      <c r="K6" s="5"/>
      <c r="L6" s="5"/>
      <c r="M6" s="10" t="s">
        <v>138</v>
      </c>
      <c r="N6" s="10" t="s">
        <v>139</v>
      </c>
      <c r="O6" s="10" t="s">
        <v>171</v>
      </c>
      <c r="P6" s="10" t="s">
        <v>40</v>
      </c>
      <c r="Q6" s="10" t="n">
        <v>150</v>
      </c>
      <c r="R6" s="5"/>
    </row>
    <row r="7" customFormat="false" ht="14.25" hidden="false" customHeight="false" outlineLevel="0" collapsed="false">
      <c r="A7" s="8" t="s">
        <v>143</v>
      </c>
      <c r="B7" s="4" t="s">
        <v>147</v>
      </c>
      <c r="C7" s="9" t="n">
        <v>1</v>
      </c>
      <c r="D7" s="4" t="s">
        <v>141</v>
      </c>
      <c r="E7" s="4" t="s">
        <v>47</v>
      </c>
      <c r="F7" s="4" t="s">
        <v>142</v>
      </c>
      <c r="G7" s="5" t="s">
        <v>53</v>
      </c>
      <c r="H7" s="5" t="s">
        <v>54</v>
      </c>
      <c r="I7" s="5" t="s">
        <v>38</v>
      </c>
      <c r="J7" s="5" t="s">
        <v>55</v>
      </c>
      <c r="K7" s="5"/>
      <c r="L7" s="5"/>
      <c r="M7" s="4" t="s">
        <v>145</v>
      </c>
      <c r="N7" s="4" t="s">
        <v>134</v>
      </c>
      <c r="O7" s="4" t="s">
        <v>169</v>
      </c>
      <c r="P7" s="4" t="s">
        <v>56</v>
      </c>
      <c r="Q7" s="4" t="n">
        <v>60</v>
      </c>
      <c r="R7" s="5"/>
    </row>
    <row r="8" customFormat="false" ht="14.25" hidden="false" customHeight="false" outlineLevel="0" collapsed="false">
      <c r="A8" s="13" t="s">
        <v>143</v>
      </c>
      <c r="B8" s="10" t="s">
        <v>147</v>
      </c>
      <c r="C8" s="14" t="n">
        <v>2</v>
      </c>
      <c r="D8" s="10" t="s">
        <v>148</v>
      </c>
      <c r="E8" s="10" t="s">
        <v>72</v>
      </c>
      <c r="F8" s="10" t="s">
        <v>149</v>
      </c>
      <c r="G8" s="5" t="s">
        <v>77</v>
      </c>
      <c r="H8" s="5" t="s">
        <v>78</v>
      </c>
      <c r="I8" s="5" t="s">
        <v>38</v>
      </c>
      <c r="J8" s="5" t="s">
        <v>79</v>
      </c>
      <c r="K8" s="5"/>
      <c r="L8" s="5"/>
      <c r="M8" s="10" t="s">
        <v>150</v>
      </c>
      <c r="N8" s="10" t="s">
        <v>151</v>
      </c>
      <c r="O8" s="10" t="s">
        <v>172</v>
      </c>
      <c r="P8" s="10" t="s">
        <v>80</v>
      </c>
      <c r="Q8" s="10" t="n">
        <v>75</v>
      </c>
      <c r="R8" s="5"/>
    </row>
  </sheetData>
  <mergeCells count="2">
    <mergeCell ref="A1:R1"/>
    <mergeCell ref="A2:R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S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14"/>
    <col collapsed="false" customWidth="true" hidden="false" outlineLevel="0" max="3" min="3" style="0" width="22"/>
    <col collapsed="false" customWidth="true" hidden="false" outlineLevel="0" max="4" min="4" style="0" width="12"/>
    <col collapsed="false" customWidth="true" hidden="false" outlineLevel="0" max="5" min="5" style="0" width="22"/>
    <col collapsed="false" customWidth="true" hidden="false" outlineLevel="0" max="6" min="6" style="0" width="15"/>
    <col collapsed="false" customWidth="true" hidden="false" outlineLevel="0" max="8" min="7" style="0" width="13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12"/>
    <col collapsed="false" customWidth="true" hidden="false" outlineLevel="0" max="15" min="12" style="0" width="13"/>
    <col collapsed="false" customWidth="true" hidden="false" outlineLevel="0" max="16" min="16" style="0" width="11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14"/>
  </cols>
  <sheetData>
    <row r="1" customFormat="false" ht="13.5" hidden="false" customHeight="true" outlineLevel="0" collapsed="false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customFormat="false" ht="48" hidden="false" customHeight="true" outlineLevel="0" collapsed="false">
      <c r="A2" s="2" t="s">
        <v>174</v>
      </c>
      <c r="B2" s="2" t="s">
        <v>158</v>
      </c>
      <c r="C2" s="2" t="s">
        <v>100</v>
      </c>
      <c r="D2" s="2" t="s">
        <v>101</v>
      </c>
      <c r="E2" s="2" t="s">
        <v>175</v>
      </c>
      <c r="F2" s="2" t="s">
        <v>160</v>
      </c>
      <c r="G2" s="2" t="s">
        <v>176</v>
      </c>
      <c r="H2" s="2" t="s">
        <v>177</v>
      </c>
      <c r="I2" s="2" t="s">
        <v>107</v>
      </c>
      <c r="J2" s="2" t="s">
        <v>178</v>
      </c>
      <c r="K2" s="2" t="s">
        <v>179</v>
      </c>
      <c r="L2" s="2" t="s">
        <v>180</v>
      </c>
      <c r="M2" s="2" t="s">
        <v>181</v>
      </c>
      <c r="N2" s="2" t="s">
        <v>182</v>
      </c>
      <c r="O2" s="2" t="s">
        <v>183</v>
      </c>
      <c r="P2" s="2" t="s">
        <v>20</v>
      </c>
      <c r="Q2" s="2" t="s">
        <v>184</v>
      </c>
      <c r="R2" s="2" t="s">
        <v>185</v>
      </c>
      <c r="S2" s="3" t="s">
        <v>186</v>
      </c>
    </row>
    <row r="3" customFormat="false" ht="22.5" hidden="false" customHeight="true" outlineLevel="0" collapsed="false">
      <c r="A3" s="4" t="s">
        <v>187</v>
      </c>
      <c r="B3" s="4" t="s">
        <v>29</v>
      </c>
      <c r="C3" s="4" t="s">
        <v>31</v>
      </c>
      <c r="D3" s="4" t="s">
        <v>30</v>
      </c>
      <c r="E3" s="4" t="s">
        <v>36</v>
      </c>
      <c r="F3" s="4" t="s">
        <v>37</v>
      </c>
      <c r="G3" s="8" t="s">
        <v>188</v>
      </c>
      <c r="H3" s="8" t="s">
        <v>189</v>
      </c>
      <c r="I3" s="4" t="s">
        <v>56</v>
      </c>
      <c r="J3" s="4" t="s">
        <v>190</v>
      </c>
      <c r="K3" s="4" t="n">
        <v>12</v>
      </c>
      <c r="L3" s="6" t="n">
        <v>25</v>
      </c>
      <c r="M3" s="6" t="n">
        <v>200</v>
      </c>
      <c r="N3" s="6" t="n">
        <v>0</v>
      </c>
      <c r="O3" s="6" t="n">
        <f aca="false">K3*L3+M3+N3</f>
        <v>500</v>
      </c>
      <c r="P3" s="7" t="n">
        <v>0.1</v>
      </c>
      <c r="Q3" s="6" t="n">
        <f aca="false">O3*P3</f>
        <v>50</v>
      </c>
      <c r="R3" s="6" t="n">
        <f aca="false">(O3-Q3)*0.07</f>
        <v>31.5</v>
      </c>
      <c r="S3" s="19" t="n">
        <f aca="false">O3-Q3+R3</f>
        <v>481.5</v>
      </c>
    </row>
    <row r="4" customFormat="false" ht="14.25" hidden="false" customHeight="false" outlineLevel="0" collapsed="false">
      <c r="A4" s="10" t="s">
        <v>191</v>
      </c>
      <c r="B4" s="10" t="s">
        <v>47</v>
      </c>
      <c r="C4" s="10" t="s">
        <v>142</v>
      </c>
      <c r="D4" s="10" t="s">
        <v>48</v>
      </c>
      <c r="E4" s="10" t="s">
        <v>53</v>
      </c>
      <c r="F4" s="10" t="s">
        <v>54</v>
      </c>
      <c r="G4" s="13" t="s">
        <v>192</v>
      </c>
      <c r="H4" s="13" t="s">
        <v>193</v>
      </c>
      <c r="I4" s="10" t="s">
        <v>56</v>
      </c>
      <c r="J4" s="10" t="s">
        <v>194</v>
      </c>
      <c r="K4" s="10" t="n">
        <v>14</v>
      </c>
      <c r="L4" s="11" t="n">
        <v>12</v>
      </c>
      <c r="M4" s="11" t="n">
        <v>100</v>
      </c>
      <c r="N4" s="11" t="n">
        <v>0</v>
      </c>
      <c r="O4" s="11" t="n">
        <f aca="false">K4*L4+M4+N4</f>
        <v>268</v>
      </c>
      <c r="P4" s="12" t="n">
        <v>0</v>
      </c>
      <c r="Q4" s="11" t="n">
        <f aca="false">O4*P4</f>
        <v>0</v>
      </c>
      <c r="R4" s="11" t="n">
        <f aca="false">(O4-Q4)*0.07</f>
        <v>18.76</v>
      </c>
      <c r="S4" s="19" t="n">
        <f aca="false">O4-Q4+R4</f>
        <v>286.76</v>
      </c>
    </row>
    <row r="5" customFormat="false" ht="22.5" hidden="false" customHeight="true" outlineLevel="0" collapsed="false">
      <c r="A5" s="4" t="s">
        <v>195</v>
      </c>
      <c r="B5" s="4" t="s">
        <v>96</v>
      </c>
      <c r="C5" s="4" t="s">
        <v>196</v>
      </c>
      <c r="D5" s="4" t="s">
        <v>30</v>
      </c>
      <c r="E5" s="4" t="s">
        <v>197</v>
      </c>
      <c r="F5" s="4" t="s">
        <v>37</v>
      </c>
      <c r="G5" s="8" t="s">
        <v>198</v>
      </c>
      <c r="H5" s="8" t="s">
        <v>199</v>
      </c>
      <c r="I5" s="4" t="s">
        <v>40</v>
      </c>
      <c r="J5" s="4" t="s">
        <v>200</v>
      </c>
      <c r="K5" s="4" t="n">
        <v>1</v>
      </c>
      <c r="L5" s="6" t="n">
        <v>800</v>
      </c>
      <c r="M5" s="6" t="n">
        <v>350</v>
      </c>
      <c r="N5" s="6" t="n">
        <v>75</v>
      </c>
      <c r="O5" s="6" t="n">
        <f aca="false">K5*L5+M5+N5</f>
        <v>1225</v>
      </c>
      <c r="P5" s="7" t="n">
        <v>0.1</v>
      </c>
      <c r="Q5" s="6" t="n">
        <f aca="false">O5*P5</f>
        <v>122.5</v>
      </c>
      <c r="R5" s="6" t="n">
        <f aca="false">(O5-Q5)*0.07</f>
        <v>77.175</v>
      </c>
      <c r="S5" s="19" t="n">
        <f aca="false">O5-Q5+R5</f>
        <v>1179.675</v>
      </c>
    </row>
  </sheetData>
  <mergeCells count="1">
    <mergeCell ref="A1:S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false"/>
  </sheetPr>
  <dimension ref="A1:U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2" min="1" style="0" width="14"/>
    <col collapsed="false" customWidth="true" hidden="false" outlineLevel="0" max="4" min="3" style="0" width="13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10" min="7" style="0" width="13"/>
    <col collapsed="false" customWidth="true" hidden="false" outlineLevel="0" max="11" min="11" style="0" width="28"/>
    <col collapsed="false" customWidth="true" hidden="false" outlineLevel="0" max="12" min="12" style="0" width="13"/>
    <col collapsed="false" customWidth="true" hidden="false" outlineLevel="0" max="14" min="13" style="0" width="12"/>
    <col collapsed="false" customWidth="true" hidden="false" outlineLevel="0" max="15" min="15" style="0" width="11"/>
    <col collapsed="false" customWidth="true" hidden="false" outlineLevel="0" max="16" min="16" style="0" width="14"/>
    <col collapsed="false" customWidth="true" hidden="false" outlineLevel="0" max="20" min="17" style="0" width="13"/>
    <col collapsed="false" customWidth="true" hidden="false" outlineLevel="0" max="21" min="21" style="0" width="14"/>
  </cols>
  <sheetData>
    <row r="1" customFormat="false" ht="13.5" hidden="false" customHeight="true" outlineLevel="0" collapsed="false">
      <c r="A1" s="1" t="s">
        <v>201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customFormat="false" ht="48" hidden="false" customHeight="true" outlineLevel="0" collapsed="false">
      <c r="A2" s="2" t="s">
        <v>121</v>
      </c>
      <c r="B2" s="2" t="s">
        <v>98</v>
      </c>
      <c r="C2" s="2" t="s">
        <v>158</v>
      </c>
      <c r="D2" s="2" t="s">
        <v>100</v>
      </c>
      <c r="E2" s="2" t="s">
        <v>101</v>
      </c>
      <c r="F2" s="2" t="s">
        <v>202</v>
      </c>
      <c r="G2" s="2" t="s">
        <v>203</v>
      </c>
      <c r="H2" s="2" t="s">
        <v>103</v>
      </c>
      <c r="I2" s="2" t="s">
        <v>107</v>
      </c>
      <c r="J2" s="2" t="s">
        <v>204</v>
      </c>
      <c r="K2" s="2" t="s">
        <v>183</v>
      </c>
      <c r="L2" s="2" t="s">
        <v>205</v>
      </c>
      <c r="M2" s="2" t="s">
        <v>206</v>
      </c>
      <c r="N2" s="2" t="s">
        <v>207</v>
      </c>
      <c r="O2" s="3" t="s">
        <v>208</v>
      </c>
      <c r="P2" s="2" t="s">
        <v>209</v>
      </c>
      <c r="Q2" s="3" t="s">
        <v>210</v>
      </c>
      <c r="R2" s="2" t="s">
        <v>123</v>
      </c>
      <c r="S2" s="2" t="s">
        <v>211</v>
      </c>
      <c r="T2" s="2" t="s">
        <v>212</v>
      </c>
    </row>
    <row r="3" customFormat="false" ht="22.5" hidden="false" customHeight="true" outlineLevel="0" collapsed="false">
      <c r="A3" s="4" t="s">
        <v>213</v>
      </c>
      <c r="B3" s="4" t="s">
        <v>124</v>
      </c>
      <c r="C3" s="4" t="s">
        <v>29</v>
      </c>
      <c r="D3" s="4" t="s">
        <v>31</v>
      </c>
      <c r="E3" s="4" t="s">
        <v>30</v>
      </c>
      <c r="F3" s="8" t="s">
        <v>125</v>
      </c>
      <c r="G3" s="8" t="s">
        <v>214</v>
      </c>
      <c r="H3" s="8" t="s">
        <v>125</v>
      </c>
      <c r="I3" s="4" t="s">
        <v>56</v>
      </c>
      <c r="J3" s="4" t="s">
        <v>215</v>
      </c>
      <c r="K3" s="6" t="n">
        <v>350</v>
      </c>
      <c r="L3" s="6" t="n">
        <v>35</v>
      </c>
      <c r="M3" s="6" t="n">
        <f aca="false">K3-L3</f>
        <v>315</v>
      </c>
      <c r="N3" s="6" t="n">
        <f aca="false">M3*0.07</f>
        <v>22.05</v>
      </c>
      <c r="O3" s="19" t="n">
        <f aca="false">M3+N3</f>
        <v>337.05</v>
      </c>
      <c r="P3" s="6" t="n">
        <v>0</v>
      </c>
      <c r="Q3" s="19" t="n">
        <f aca="false">O3-P3</f>
        <v>337.05</v>
      </c>
      <c r="R3" s="4" t="s">
        <v>132</v>
      </c>
      <c r="S3" s="8"/>
      <c r="T3" s="4"/>
    </row>
    <row r="4" customFormat="false" ht="32.8" hidden="false" customHeight="false" outlineLevel="0" collapsed="false">
      <c r="A4" s="10" t="s">
        <v>216</v>
      </c>
      <c r="B4" s="10" t="s">
        <v>133</v>
      </c>
      <c r="C4" s="10" t="s">
        <v>61</v>
      </c>
      <c r="D4" s="10" t="s">
        <v>62</v>
      </c>
      <c r="E4" s="10" t="s">
        <v>30</v>
      </c>
      <c r="F4" s="13" t="s">
        <v>125</v>
      </c>
      <c r="G4" s="13" t="s">
        <v>214</v>
      </c>
      <c r="H4" s="13" t="s">
        <v>125</v>
      </c>
      <c r="I4" s="10" t="s">
        <v>56</v>
      </c>
      <c r="J4" s="10" t="s">
        <v>217</v>
      </c>
      <c r="K4" s="11" t="n">
        <v>220</v>
      </c>
      <c r="L4" s="11" t="n">
        <v>11</v>
      </c>
      <c r="M4" s="11" t="n">
        <f aca="false">K4-L4</f>
        <v>209</v>
      </c>
      <c r="N4" s="11" t="n">
        <f aca="false">M4*0.07</f>
        <v>14.63</v>
      </c>
      <c r="O4" s="19" t="n">
        <f aca="false">M4+N4</f>
        <v>223.63</v>
      </c>
      <c r="P4" s="11" t="n">
        <v>0</v>
      </c>
      <c r="Q4" s="19" t="n">
        <f aca="false">O4-P4</f>
        <v>223.63</v>
      </c>
      <c r="R4" s="10" t="s">
        <v>132</v>
      </c>
      <c r="S4" s="13"/>
      <c r="T4" s="10"/>
    </row>
    <row r="5" customFormat="false" ht="22.5" hidden="false" customHeight="true" outlineLevel="0" collapsed="false">
      <c r="A5" s="4" t="s">
        <v>218</v>
      </c>
      <c r="B5" s="4" t="s">
        <v>137</v>
      </c>
      <c r="C5" s="4" t="s">
        <v>85</v>
      </c>
      <c r="D5" s="4" t="s">
        <v>86</v>
      </c>
      <c r="E5" s="4" t="s">
        <v>30</v>
      </c>
      <c r="F5" s="8" t="s">
        <v>125</v>
      </c>
      <c r="G5" s="8" t="s">
        <v>214</v>
      </c>
      <c r="H5" s="8" t="s">
        <v>125</v>
      </c>
      <c r="I5" s="4" t="s">
        <v>40</v>
      </c>
      <c r="J5" s="4" t="s">
        <v>219</v>
      </c>
      <c r="K5" s="6" t="n">
        <v>625</v>
      </c>
      <c r="L5" s="6" t="n">
        <v>93.75</v>
      </c>
      <c r="M5" s="6" t="n">
        <f aca="false">K5-L5</f>
        <v>531.25</v>
      </c>
      <c r="N5" s="6" t="n">
        <f aca="false">M5*0.07</f>
        <v>37.1875</v>
      </c>
      <c r="O5" s="19" t="n">
        <f aca="false">M5+N5</f>
        <v>568.4375</v>
      </c>
      <c r="P5" s="6" t="n">
        <v>0</v>
      </c>
      <c r="Q5" s="19" t="n">
        <f aca="false">O5-P5</f>
        <v>568.4375</v>
      </c>
      <c r="R5" s="4" t="s">
        <v>132</v>
      </c>
      <c r="S5" s="8"/>
      <c r="T5" s="4"/>
    </row>
  </sheetData>
  <mergeCells count="1">
    <mergeCell ref="A1:U1"/>
  </mergeCells>
  <conditionalFormatting sqref="S3:S500">
    <cfRule type="expression" priority="2" aboveAverage="0" equalAverage="0" bottom="0" percent="0" rank="0" text="" dxfId="2">
      <formula>S3="Overdue"</formula>
    </cfRule>
    <cfRule type="expression" priority="3" aboveAverage="0" equalAverage="0" bottom="0" percent="0" rank="0" text="" dxfId="3">
      <formula>S3="Paid"</formula>
    </cfRule>
  </conditionalFormatting>
  <dataValidations count="2">
    <dataValidation allowBlank="true" errorStyle="stop" operator="between" showDropDown="false" showErrorMessage="false" showInputMessage="false" sqref="S3:S500" type="list">
      <formula1>"Unpaid,Paid,Partial,Overdue,Voided"</formula1>
      <formula2>0</formula2>
    </dataValidation>
    <dataValidation allowBlank="true" errorStyle="stop" operator="between" showDropDown="false" showErrorMessage="false" showInputMessage="false" sqref="U3:U500" type="list">
      <formula1>"Cash,Check,Credit Card,Venmo,Zelle,ACH,Other"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I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7" min="6" style="0" width="13"/>
    <col collapsed="false" customWidth="true" hidden="false" outlineLevel="0" max="8" min="8" style="0" width="14"/>
    <col collapsed="false" customWidth="true" hidden="false" outlineLevel="0" max="9" min="9" style="0" width="28"/>
  </cols>
  <sheetData>
    <row r="1" customFormat="false" ht="13.5" hidden="false" customHeight="true" outlineLevel="0" collapsed="false">
      <c r="A1" s="1" t="s">
        <v>220</v>
      </c>
      <c r="B1" s="1"/>
      <c r="C1" s="1"/>
      <c r="D1" s="1"/>
      <c r="E1" s="1"/>
      <c r="F1" s="1"/>
      <c r="G1" s="1"/>
      <c r="H1" s="1"/>
      <c r="I1" s="1"/>
    </row>
    <row r="2" customFormat="false" ht="42" hidden="false" customHeight="true" outlineLevel="0" collapsed="false">
      <c r="A2" s="17" t="s">
        <v>221</v>
      </c>
      <c r="B2" s="17" t="s">
        <v>222</v>
      </c>
      <c r="C2" s="17" t="s">
        <v>223</v>
      </c>
      <c r="D2" s="17" t="s">
        <v>224</v>
      </c>
      <c r="E2" s="17" t="s">
        <v>225</v>
      </c>
      <c r="F2" s="17" t="s">
        <v>226</v>
      </c>
      <c r="G2" s="17" t="s">
        <v>227</v>
      </c>
      <c r="H2" s="17" t="s">
        <v>228</v>
      </c>
      <c r="I2" s="17" t="s">
        <v>229</v>
      </c>
    </row>
    <row r="3" customFormat="false" ht="14.25" hidden="false" customHeight="false" outlineLevel="0" collapsed="false">
      <c r="A3" s="4" t="s">
        <v>230</v>
      </c>
      <c r="B3" s="4" t="s">
        <v>231</v>
      </c>
      <c r="C3" s="4" t="s">
        <v>232</v>
      </c>
      <c r="D3" s="6" t="n">
        <v>12</v>
      </c>
      <c r="E3" s="4" t="s">
        <v>233</v>
      </c>
      <c r="F3" s="6" t="n">
        <v>75</v>
      </c>
      <c r="G3" s="20" t="n">
        <v>1</v>
      </c>
      <c r="H3" s="4" t="s">
        <v>234</v>
      </c>
      <c r="I3" s="4" t="s">
        <v>235</v>
      </c>
    </row>
    <row r="4" customFormat="false" ht="14.25" hidden="false" customHeight="false" outlineLevel="0" collapsed="false">
      <c r="A4" s="10" t="s">
        <v>236</v>
      </c>
      <c r="B4" s="10" t="s">
        <v>231</v>
      </c>
      <c r="C4" s="10" t="s">
        <v>237</v>
      </c>
      <c r="D4" s="11" t="n">
        <v>45</v>
      </c>
      <c r="E4" s="10" t="s">
        <v>238</v>
      </c>
      <c r="F4" s="11" t="n">
        <v>100</v>
      </c>
      <c r="G4" s="21" t="n">
        <v>1.2</v>
      </c>
      <c r="H4" s="10" t="s">
        <v>234</v>
      </c>
      <c r="I4" s="10" t="s">
        <v>239</v>
      </c>
    </row>
    <row r="5" customFormat="false" ht="14.25" hidden="false" customHeight="false" outlineLevel="0" collapsed="false">
      <c r="A5" s="4" t="s">
        <v>240</v>
      </c>
      <c r="B5" s="4" t="s">
        <v>231</v>
      </c>
      <c r="C5" s="4" t="s">
        <v>241</v>
      </c>
      <c r="D5" s="6" t="n">
        <v>5</v>
      </c>
      <c r="E5" s="4" t="s">
        <v>233</v>
      </c>
      <c r="F5" s="6" t="n">
        <v>0</v>
      </c>
      <c r="G5" s="20"/>
      <c r="H5" s="4" t="s">
        <v>234</v>
      </c>
      <c r="I5" s="4" t="s">
        <v>242</v>
      </c>
    </row>
    <row r="6" customFormat="false" ht="14.25" hidden="false" customHeight="false" outlineLevel="0" collapsed="false">
      <c r="A6" s="10" t="s">
        <v>243</v>
      </c>
      <c r="B6" s="10" t="s">
        <v>231</v>
      </c>
      <c r="C6" s="10" t="s">
        <v>244</v>
      </c>
      <c r="D6" s="11" t="n">
        <v>3</v>
      </c>
      <c r="E6" s="10" t="s">
        <v>245</v>
      </c>
      <c r="F6" s="11" t="n">
        <v>0</v>
      </c>
      <c r="G6" s="21"/>
      <c r="H6" s="10" t="s">
        <v>234</v>
      </c>
      <c r="I6" s="10" t="s">
        <v>246</v>
      </c>
    </row>
    <row r="7" customFormat="false" ht="14.25" hidden="false" customHeight="false" outlineLevel="0" collapsed="false">
      <c r="A7" s="4" t="s">
        <v>247</v>
      </c>
      <c r="B7" s="4" t="s">
        <v>231</v>
      </c>
      <c r="C7" s="4" t="s">
        <v>248</v>
      </c>
      <c r="D7" s="6" t="n">
        <v>18</v>
      </c>
      <c r="E7" s="4" t="s">
        <v>233</v>
      </c>
      <c r="F7" s="6" t="n">
        <v>90</v>
      </c>
      <c r="G7" s="20" t="n">
        <v>1.15</v>
      </c>
      <c r="H7" s="4" t="s">
        <v>234</v>
      </c>
      <c r="I7" s="4" t="s">
        <v>249</v>
      </c>
    </row>
    <row r="8" customFormat="false" ht="14.25" hidden="false" customHeight="false" outlineLevel="0" collapsed="false">
      <c r="A8" s="10" t="s">
        <v>250</v>
      </c>
      <c r="B8" s="10" t="s">
        <v>251</v>
      </c>
      <c r="C8" s="10" t="s">
        <v>252</v>
      </c>
      <c r="D8" s="11" t="n">
        <v>0.15</v>
      </c>
      <c r="E8" s="10" t="s">
        <v>253</v>
      </c>
      <c r="F8" s="11" t="n">
        <v>100</v>
      </c>
      <c r="G8" s="21" t="n">
        <v>1.1</v>
      </c>
      <c r="H8" s="10" t="s">
        <v>234</v>
      </c>
      <c r="I8" s="10" t="s">
        <v>254</v>
      </c>
    </row>
    <row r="9" customFormat="false" ht="14.25" hidden="false" customHeight="false" outlineLevel="0" collapsed="false">
      <c r="A9" s="4" t="s">
        <v>255</v>
      </c>
      <c r="B9" s="4" t="s">
        <v>251</v>
      </c>
      <c r="C9" s="4" t="s">
        <v>256</v>
      </c>
      <c r="D9" s="6" t="n">
        <v>0.2</v>
      </c>
      <c r="E9" s="4" t="s">
        <v>253</v>
      </c>
      <c r="F9" s="6" t="n">
        <v>150</v>
      </c>
      <c r="G9" s="20" t="n">
        <v>1.15</v>
      </c>
      <c r="H9" s="4" t="s">
        <v>234</v>
      </c>
      <c r="I9" s="4" t="s">
        <v>257</v>
      </c>
    </row>
    <row r="10" customFormat="false" ht="14.25" hidden="false" customHeight="false" outlineLevel="0" collapsed="false">
      <c r="A10" s="10" t="s">
        <v>258</v>
      </c>
      <c r="B10" s="10" t="s">
        <v>251</v>
      </c>
      <c r="C10" s="10" t="s">
        <v>259</v>
      </c>
      <c r="D10" s="11" t="n">
        <v>0.25</v>
      </c>
      <c r="E10" s="10" t="s">
        <v>253</v>
      </c>
      <c r="F10" s="11" t="n">
        <v>125</v>
      </c>
      <c r="G10" s="21" t="n">
        <v>1.1</v>
      </c>
      <c r="H10" s="10" t="s">
        <v>234</v>
      </c>
      <c r="I10" s="10" t="s">
        <v>260</v>
      </c>
    </row>
    <row r="11" customFormat="false" ht="14.25" hidden="false" customHeight="false" outlineLevel="0" collapsed="false">
      <c r="A11" s="4" t="s">
        <v>261</v>
      </c>
      <c r="B11" s="4" t="s">
        <v>251</v>
      </c>
      <c r="C11" s="4" t="s">
        <v>262</v>
      </c>
      <c r="D11" s="6" t="n">
        <v>0.18</v>
      </c>
      <c r="E11" s="4" t="s">
        <v>263</v>
      </c>
      <c r="F11" s="6" t="n">
        <v>75</v>
      </c>
      <c r="G11" s="20" t="n">
        <v>1.1</v>
      </c>
      <c r="H11" s="4" t="s">
        <v>234</v>
      </c>
      <c r="I11" s="4" t="s">
        <v>249</v>
      </c>
    </row>
    <row r="12" customFormat="false" ht="14.25" hidden="false" customHeight="false" outlineLevel="0" collapsed="false">
      <c r="A12" s="10" t="s">
        <v>264</v>
      </c>
      <c r="B12" s="10" t="s">
        <v>251</v>
      </c>
      <c r="C12" s="10" t="s">
        <v>265</v>
      </c>
      <c r="D12" s="11" t="n">
        <v>0.3</v>
      </c>
      <c r="E12" s="10" t="s">
        <v>253</v>
      </c>
      <c r="F12" s="11" t="n">
        <v>200</v>
      </c>
      <c r="G12" s="21" t="n">
        <v>1.25</v>
      </c>
      <c r="H12" s="10" t="s">
        <v>234</v>
      </c>
      <c r="I12" s="10" t="s">
        <v>266</v>
      </c>
    </row>
    <row r="13" customFormat="false" ht="14.25" hidden="false" customHeight="false" outlineLevel="0" collapsed="false">
      <c r="A13" s="4" t="s">
        <v>267</v>
      </c>
      <c r="B13" s="4" t="s">
        <v>268</v>
      </c>
      <c r="C13" s="4" t="s">
        <v>269</v>
      </c>
      <c r="D13" s="6"/>
      <c r="E13" s="4" t="s">
        <v>270</v>
      </c>
      <c r="F13" s="6" t="n">
        <v>200</v>
      </c>
      <c r="G13" s="20" t="n">
        <v>1</v>
      </c>
      <c r="H13" s="4" t="s">
        <v>234</v>
      </c>
      <c r="I13" s="4" t="s">
        <v>271</v>
      </c>
    </row>
    <row r="14" customFormat="false" ht="14.25" hidden="false" customHeight="false" outlineLevel="0" collapsed="false">
      <c r="A14" s="10" t="s">
        <v>272</v>
      </c>
      <c r="B14" s="10" t="s">
        <v>268</v>
      </c>
      <c r="C14" s="10" t="s">
        <v>273</v>
      </c>
      <c r="D14" s="11"/>
      <c r="E14" s="10" t="s">
        <v>274</v>
      </c>
      <c r="F14" s="11" t="n">
        <v>300</v>
      </c>
      <c r="G14" s="21" t="n">
        <v>1</v>
      </c>
      <c r="H14" s="10" t="s">
        <v>234</v>
      </c>
      <c r="I14" s="10" t="s">
        <v>275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966"/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0"/>
    <col collapsed="false" customWidth="true" hidden="false" outlineLevel="0" max="3" min="3" style="0" width="28"/>
    <col collapsed="false" customWidth="true" hidden="false" outlineLevel="0" max="4" min="4" style="0" width="45"/>
  </cols>
  <sheetData>
    <row r="1" customFormat="false" ht="18" hidden="false" customHeight="true" outlineLevel="0" collapsed="false">
      <c r="A1" s="22" t="s">
        <v>276</v>
      </c>
      <c r="B1" s="22"/>
      <c r="C1" s="22"/>
      <c r="D1" s="22"/>
    </row>
    <row r="2" customFormat="false" ht="18" hidden="false" customHeight="true" outlineLevel="0" collapsed="false">
      <c r="A2" s="23" t="s">
        <v>277</v>
      </c>
      <c r="B2" s="23"/>
      <c r="C2" s="23"/>
      <c r="D2" s="23"/>
    </row>
    <row r="3" customFormat="false" ht="18" hidden="false" customHeight="true" outlineLevel="0" collapsed="false">
      <c r="A3" s="24" t="s">
        <v>278</v>
      </c>
      <c r="B3" s="24" t="s">
        <v>279</v>
      </c>
      <c r="C3" s="24" t="s">
        <v>280</v>
      </c>
      <c r="D3" s="24" t="s">
        <v>281</v>
      </c>
    </row>
    <row r="4" customFormat="false" ht="18" hidden="false" customHeight="true" outlineLevel="0" collapsed="false">
      <c r="A4" s="25" t="s">
        <v>282</v>
      </c>
      <c r="B4" s="25" t="s">
        <v>283</v>
      </c>
      <c r="C4" s="26" t="s">
        <v>284</v>
      </c>
      <c r="D4" s="25" t="s">
        <v>285</v>
      </c>
    </row>
    <row r="5" customFormat="false" ht="18" hidden="false" customHeight="true" outlineLevel="0" collapsed="false">
      <c r="A5" s="27" t="s">
        <v>286</v>
      </c>
      <c r="B5" s="27" t="s">
        <v>287</v>
      </c>
      <c r="C5" s="26" t="s">
        <v>288</v>
      </c>
      <c r="D5" s="27" t="s">
        <v>289</v>
      </c>
    </row>
    <row r="6" customFormat="false" ht="18" hidden="false" customHeight="true" outlineLevel="0" collapsed="false">
      <c r="A6" s="25" t="s">
        <v>290</v>
      </c>
      <c r="B6" s="25" t="s">
        <v>291</v>
      </c>
      <c r="C6" s="26" t="s">
        <v>292</v>
      </c>
      <c r="D6" s="25" t="s">
        <v>293</v>
      </c>
    </row>
    <row r="7" customFormat="false" ht="18" hidden="false" customHeight="true" outlineLevel="0" collapsed="false"/>
    <row r="8" customFormat="false" ht="18" hidden="false" customHeight="true" outlineLevel="0" collapsed="false">
      <c r="A8" s="23" t="s">
        <v>294</v>
      </c>
      <c r="B8" s="23"/>
      <c r="C8" s="23"/>
      <c r="D8" s="23"/>
    </row>
    <row r="9" customFormat="false" ht="18" hidden="false" customHeight="true" outlineLevel="0" collapsed="false">
      <c r="A9" s="24" t="s">
        <v>278</v>
      </c>
      <c r="B9" s="24" t="s">
        <v>279</v>
      </c>
      <c r="C9" s="24" t="s">
        <v>280</v>
      </c>
      <c r="D9" s="24" t="s">
        <v>281</v>
      </c>
    </row>
    <row r="10" customFormat="false" ht="18" hidden="false" customHeight="true" outlineLevel="0" collapsed="false">
      <c r="A10" s="25" t="s">
        <v>295</v>
      </c>
      <c r="B10" s="25" t="s">
        <v>296</v>
      </c>
      <c r="C10" s="26" t="s">
        <v>297</v>
      </c>
      <c r="D10" s="25" t="s">
        <v>298</v>
      </c>
    </row>
    <row r="11" customFormat="false" ht="18" hidden="false" customHeight="true" outlineLevel="0" collapsed="false">
      <c r="A11" s="27" t="s">
        <v>299</v>
      </c>
      <c r="B11" s="27" t="s">
        <v>300</v>
      </c>
      <c r="C11" s="26" t="s">
        <v>301</v>
      </c>
      <c r="D11" s="27" t="s">
        <v>302</v>
      </c>
    </row>
    <row r="12" customFormat="false" ht="18" hidden="false" customHeight="true" outlineLevel="0" collapsed="false">
      <c r="A12" s="25" t="s">
        <v>303</v>
      </c>
      <c r="B12" s="25" t="s">
        <v>304</v>
      </c>
      <c r="C12" s="26" t="s">
        <v>305</v>
      </c>
      <c r="D12" s="25" t="s">
        <v>298</v>
      </c>
    </row>
    <row r="13" customFormat="false" ht="18" hidden="false" customHeight="true" outlineLevel="0" collapsed="false"/>
    <row r="14" customFormat="false" ht="18" hidden="false" customHeight="true" outlineLevel="0" collapsed="false">
      <c r="A14" s="23" t="s">
        <v>306</v>
      </c>
      <c r="B14" s="23"/>
      <c r="C14" s="23"/>
      <c r="D14" s="23"/>
    </row>
    <row r="15" customFormat="false" ht="18" hidden="false" customHeight="true" outlineLevel="0" collapsed="false">
      <c r="A15" s="24" t="s">
        <v>278</v>
      </c>
      <c r="B15" s="24" t="s">
        <v>279</v>
      </c>
      <c r="C15" s="24" t="s">
        <v>280</v>
      </c>
      <c r="D15" s="24" t="s">
        <v>281</v>
      </c>
    </row>
    <row r="16" customFormat="false" ht="18" hidden="false" customHeight="true" outlineLevel="0" collapsed="false">
      <c r="A16" s="25" t="s">
        <v>307</v>
      </c>
      <c r="B16" s="25" t="s">
        <v>308</v>
      </c>
      <c r="C16" s="26" t="s">
        <v>297</v>
      </c>
      <c r="D16" s="25" t="s">
        <v>309</v>
      </c>
    </row>
    <row r="17" customFormat="false" ht="18" hidden="false" customHeight="true" outlineLevel="0" collapsed="false">
      <c r="A17" s="27" t="s">
        <v>310</v>
      </c>
      <c r="B17" s="27" t="s">
        <v>311</v>
      </c>
      <c r="C17" s="26" t="s">
        <v>297</v>
      </c>
      <c r="D17" s="27" t="s">
        <v>312</v>
      </c>
    </row>
    <row r="18" customFormat="false" ht="18" hidden="false" customHeight="true" outlineLevel="0" collapsed="false">
      <c r="A18" s="27" t="s">
        <v>313</v>
      </c>
      <c r="B18" s="27" t="s">
        <v>314</v>
      </c>
      <c r="C18" s="26" t="s">
        <v>305</v>
      </c>
      <c r="D18" s="27" t="s">
        <v>312</v>
      </c>
    </row>
    <row r="19" customFormat="false" ht="18" hidden="false" customHeight="true" outlineLevel="0" collapsed="false"/>
    <row r="20" customFormat="false" ht="18" hidden="false" customHeight="true" outlineLevel="0" collapsed="false">
      <c r="A20" s="28" t="s">
        <v>315</v>
      </c>
    </row>
    <row r="21" customFormat="false" ht="18" hidden="false" customHeight="true" outlineLevel="0" collapsed="false">
      <c r="A21" s="29" t="s">
        <v>278</v>
      </c>
      <c r="B21" s="29" t="s">
        <v>279</v>
      </c>
      <c r="C21" s="29" t="s">
        <v>280</v>
      </c>
      <c r="D21" s="29" t="s">
        <v>281</v>
      </c>
    </row>
    <row r="22" customFormat="false" ht="18" hidden="false" customHeight="true" outlineLevel="0" collapsed="false">
      <c r="A22" s="27" t="s">
        <v>316</v>
      </c>
      <c r="B22" s="27" t="s">
        <v>317</v>
      </c>
      <c r="C22" s="26" t="s">
        <v>305</v>
      </c>
      <c r="D22" s="27" t="s">
        <v>318</v>
      </c>
    </row>
    <row r="23" customFormat="false" ht="18" hidden="false" customHeight="true" outlineLevel="0" collapsed="false">
      <c r="A23" s="25" t="s">
        <v>319</v>
      </c>
      <c r="B23" s="25" t="s">
        <v>320</v>
      </c>
      <c r="C23" s="26" t="s">
        <v>305</v>
      </c>
      <c r="D23" s="25" t="s">
        <v>298</v>
      </c>
    </row>
    <row r="24" customFormat="false" ht="18" hidden="false" customHeight="true" outlineLevel="0" collapsed="false">
      <c r="A24" s="27" t="s">
        <v>321</v>
      </c>
      <c r="B24" s="27" t="s">
        <v>322</v>
      </c>
      <c r="C24" s="26" t="s">
        <v>305</v>
      </c>
      <c r="D24" s="27" t="s">
        <v>312</v>
      </c>
    </row>
    <row r="25" customFormat="false" ht="18" hidden="false" customHeight="true" outlineLevel="0" collapsed="false"/>
  </sheetData>
  <mergeCells count="5">
    <mergeCell ref="A1:D1"/>
    <mergeCell ref="A2:D2"/>
    <mergeCell ref="A8:D8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2026-03-27T20:44:19Z</dcterms:created>
  <dc:creator>openpyxl</dc:creator>
  <dc:description/>
  <dc:language>en-US</dc:language>
  <cp:lastModifiedBy>David Vavro</cp:lastModifiedBy>
  <dcterms:modified xsi:type="dcterms:W3CDTF">2026-05-14T10:26:53Z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