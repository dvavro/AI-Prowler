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bce59d647e69732/AI-Prowler-docs/AI-Prowler_test_docs/"/>
    </mc:Choice>
  </mc:AlternateContent>
  <xr:revisionPtr revIDLastSave="0" documentId="106_{A13CA912-2B4C-41E2-8A17-D19BD16A80BB}" xr6:coauthVersionLast="47" xr6:coauthVersionMax="47" xr10:uidLastSave="{00000000-0000-0000-0000-000000000000}"/>
  <bookViews>
    <workbookView xWindow="1030" yWindow="1140" windowWidth="24570" windowHeight="13140" tabRatio="658" firstSheet="1" activeTab="1" xr2:uid="{00000000-000D-0000-FFFF-FFFF00000000}"/>
  </bookViews>
  <sheets>
    <sheet name="Customers" sheetId="1" r:id="rId1"/>
    <sheet name="Jobs_Schedule" sheetId="2" r:id="rId2"/>
    <sheet name="Route_Planner" sheetId="3" r:id="rId3"/>
    <sheet name="Quotes" sheetId="4" r:id="rId4"/>
    <sheet name="Invoices" sheetId="5" r:id="rId5"/>
    <sheet name="QB_Daily_Export" sheetId="6" r:id="rId6"/>
    <sheet name="Services_Pricing" sheetId="7" r:id="rId7"/>
    <sheet name="AI-Prowler_Command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6" l="1"/>
  <c r="M6" i="6"/>
  <c r="N5" i="6"/>
  <c r="M5" i="6"/>
  <c r="N4" i="6"/>
  <c r="M4" i="6"/>
  <c r="O5" i="5"/>
  <c r="P5" i="5" s="1"/>
  <c r="R5" i="5" s="1"/>
  <c r="N5" i="5"/>
  <c r="P4" i="5"/>
  <c r="R4" i="5" s="1"/>
  <c r="O4" i="5"/>
  <c r="N4" i="5"/>
  <c r="N3" i="5"/>
  <c r="O3" i="5" s="1"/>
  <c r="Q5" i="4"/>
  <c r="R5" i="4" s="1"/>
  <c r="O5" i="4"/>
  <c r="R4" i="4"/>
  <c r="S4" i="4" s="1"/>
  <c r="Q4" i="4"/>
  <c r="O4" i="4"/>
  <c r="Q3" i="4"/>
  <c r="S3" i="4" s="1"/>
  <c r="O3" i="4"/>
  <c r="R3" i="4" s="1"/>
  <c r="AA7" i="2"/>
  <c r="AB7" i="2" s="1"/>
  <c r="AA6" i="2"/>
  <c r="AB6" i="2" s="1"/>
  <c r="AA5" i="2"/>
  <c r="AB5" i="2" s="1"/>
  <c r="AB4" i="2"/>
  <c r="AA4" i="2"/>
  <c r="AA3" i="2"/>
  <c r="AB3" i="2" s="1"/>
  <c r="Z7" i="1"/>
  <c r="V7" i="1"/>
  <c r="V6" i="1"/>
  <c r="Z6" i="1" s="1"/>
  <c r="Z5" i="1"/>
  <c r="V5" i="1"/>
  <c r="V4" i="1"/>
  <c r="Z4" i="1" s="1"/>
  <c r="V3" i="1"/>
  <c r="Z3" i="1" s="1"/>
  <c r="S5" i="4" l="1"/>
  <c r="P3" i="5"/>
  <c r="R3" i="5" s="1"/>
</calcChain>
</file>

<file path=xl/sharedStrings.xml><?xml version="1.0" encoding="utf-8"?>
<sst xmlns="http://schemas.openxmlformats.org/spreadsheetml/2006/main" count="641" uniqueCount="352">
  <si>
    <t>CustomerID
(CUST-####)</t>
  </si>
  <si>
    <t>QuickBooks
Customer ID</t>
  </si>
  <si>
    <t>Customer
Type
Comm/Res</t>
  </si>
  <si>
    <t>Company
Name</t>
  </si>
  <si>
    <t>First
Name</t>
  </si>
  <si>
    <t>Last
Name</t>
  </si>
  <si>
    <t>Phone</t>
  </si>
  <si>
    <t>Email</t>
  </si>
  <si>
    <t>Street
Address
★ AI Route</t>
  </si>
  <si>
    <t>City
★ AI Route</t>
  </si>
  <si>
    <t>State</t>
  </si>
  <si>
    <t>ZIP
★ AI Route</t>
  </si>
  <si>
    <t>Latitude
(AI Geocode)</t>
  </si>
  <si>
    <t>Longitude
(AI Geocode)</t>
  </si>
  <si>
    <t>Service
Type(s)
Win/Press/Both</t>
  </si>
  <si>
    <t>Frequency
W/BW/M/Q/OT</t>
  </si>
  <si>
    <t>Preferred
Day(s)</t>
  </si>
  <si>
    <t>Pref. Time
Window</t>
  </si>
  <si>
    <t>Avg Job
Duration
(min)</t>
  </si>
  <si>
    <t>Standard
Quote ($)</t>
  </si>
  <si>
    <t>Discount
(%)</t>
  </si>
  <si>
    <t>Net
Price ($)</t>
  </si>
  <si>
    <t>Last Service
Date</t>
  </si>
  <si>
    <t>Next Sched.
Date</t>
  </si>
  <si>
    <t>Total Jobs
Completed</t>
  </si>
  <si>
    <t>Lifetime
Revenue ($)</t>
  </si>
  <si>
    <t>Gate Code /
Access Notes</t>
  </si>
  <si>
    <t>On-Site
Contact</t>
  </si>
  <si>
    <t>Status
Active/Inactive</t>
  </si>
  <si>
    <t>CUST-0001</t>
  </si>
  <si>
    <t>QB-1001</t>
  </si>
  <si>
    <t>Commercial</t>
  </si>
  <si>
    <t>Sunshine Realty LLC</t>
  </si>
  <si>
    <t>Karen</t>
  </si>
  <si>
    <t>Walsh</t>
  </si>
  <si>
    <t>386-555-0101</t>
  </si>
  <si>
    <t>karen@sunshine.com</t>
  </si>
  <si>
    <t>125 Harbor Blvd</t>
  </si>
  <si>
    <t>New Smyrna Beach</t>
  </si>
  <si>
    <t>FL</t>
  </si>
  <si>
    <t>32168</t>
  </si>
  <si>
    <t>Both</t>
  </si>
  <si>
    <t>Monthly</t>
  </si>
  <si>
    <t>Mon,Wed</t>
  </si>
  <si>
    <t>8am-5pm</t>
  </si>
  <si>
    <t>Gate code 4421</t>
  </si>
  <si>
    <t>On-site mgr: Tom</t>
  </si>
  <si>
    <t>Active</t>
  </si>
  <si>
    <t>CUST-0002</t>
  </si>
  <si>
    <t>QB-1002</t>
  </si>
  <si>
    <t>Residential</t>
  </si>
  <si>
    <t>Michael</t>
  </si>
  <si>
    <t>Torres</t>
  </si>
  <si>
    <t>386-555-0202</t>
  </si>
  <si>
    <t>mtorres@gmail.com</t>
  </si>
  <si>
    <t>47 Oceanview Dr</t>
  </si>
  <si>
    <t>Edgewater</t>
  </si>
  <si>
    <t>32141</t>
  </si>
  <si>
    <t>Window</t>
  </si>
  <si>
    <t>Quarterly</t>
  </si>
  <si>
    <t>Saturday</t>
  </si>
  <si>
    <t>9am-12pm</t>
  </si>
  <si>
    <t>Side gate unlocked</t>
  </si>
  <si>
    <t>CUST-0003</t>
  </si>
  <si>
    <t>QB-1003</t>
  </si>
  <si>
    <t>Blue Wave Cafe</t>
  </si>
  <si>
    <t>Jennifer</t>
  </si>
  <si>
    <t>Nguyen</t>
  </si>
  <si>
    <t>386-555-0303</t>
  </si>
  <si>
    <t>jnguyen@bluewavecafe.com</t>
  </si>
  <si>
    <t>810 Canal St</t>
  </si>
  <si>
    <t>Tuesday</t>
  </si>
  <si>
    <t>7am-9am</t>
  </si>
  <si>
    <t>Back entrance only</t>
  </si>
  <si>
    <t>Mgr: Jennifer</t>
  </si>
  <si>
    <t>CUST-0004</t>
  </si>
  <si>
    <t>QB-1004</t>
  </si>
  <si>
    <t>Robert</t>
  </si>
  <si>
    <t>Martinez</t>
  </si>
  <si>
    <t>386-555-0404</t>
  </si>
  <si>
    <t>rmartinez@yahoo.com</t>
  </si>
  <si>
    <t>233 Pine Tree Rd</t>
  </si>
  <si>
    <t>Oak Hill</t>
  </si>
  <si>
    <t>32759</t>
  </si>
  <si>
    <t>Pressure</t>
  </si>
  <si>
    <t>Biweekly</t>
  </si>
  <si>
    <t>Thursday</t>
  </si>
  <si>
    <t>10am-2pm</t>
  </si>
  <si>
    <t>Dog in yard - call ahead</t>
  </si>
  <si>
    <t>CUST-0005</t>
  </si>
  <si>
    <t>QB-1005</t>
  </si>
  <si>
    <t>Harbor Inn Motel</t>
  </si>
  <si>
    <t>Sandra</t>
  </si>
  <si>
    <t>Kim</t>
  </si>
  <si>
    <t>386-555-0505</t>
  </si>
  <si>
    <t>sandra@harborinn.com</t>
  </si>
  <si>
    <t>500 N Dixie Fwy</t>
  </si>
  <si>
    <t>Mon,Thu</t>
  </si>
  <si>
    <t>6am-10am</t>
  </si>
  <si>
    <t>Service entrance rear</t>
  </si>
  <si>
    <t>GM: Brian</t>
  </si>
  <si>
    <t>📅  JOBS &amp; SCHEDULE — All Service Appointments</t>
  </si>
  <si>
    <t>JobID
(JOB-####)</t>
  </si>
  <si>
    <t>CustomerID
(Customers!A)</t>
  </si>
  <si>
    <t>Customer Name
/ Company</t>
  </si>
  <si>
    <t>Customer
Type</t>
  </si>
  <si>
    <t>Street Address
★ AI Route</t>
  </si>
  <si>
    <t>Service
Date</t>
  </si>
  <si>
    <t>Day of
Week</t>
  </si>
  <si>
    <t>Start
Time</t>
  </si>
  <si>
    <t>End
Time</t>
  </si>
  <si>
    <t>Service
Type</t>
  </si>
  <si>
    <t>Service
Details / Notes</t>
  </si>
  <si>
    <t>Crew /
Technician</t>
  </si>
  <si>
    <t>Est.
Duration (min)</t>
  </si>
  <si>
    <t>Actual
Duration (min)</t>
  </si>
  <si>
    <t>Route
Stop #
★ AI Route</t>
  </si>
  <si>
    <t>Route
Map URL
★ AI Prowler</t>
  </si>
  <si>
    <t>Weather
Check
★ AI Prowler</t>
  </si>
  <si>
    <t>Job
Status</t>
  </si>
  <si>
    <t>Quote
Amount ($)</t>
  </si>
  <si>
    <t>Actual
Amount ($)</t>
  </si>
  <si>
    <t>Discount
Applied ($)</t>
  </si>
  <si>
    <t>Tax
(7%)</t>
  </si>
  <si>
    <t>Invoice
Total ($)</t>
  </si>
  <si>
    <t>InvoiceID
(INV-####)</t>
  </si>
  <si>
    <t>Invoice
Sent Date</t>
  </si>
  <si>
    <t>Payment
Status</t>
  </si>
  <si>
    <t>QB Sync
✓/—</t>
  </si>
  <si>
    <t>JOB-0001</t>
  </si>
  <si>
    <t>2026-03-30</t>
  </si>
  <si>
    <t>Monday</t>
  </si>
  <si>
    <t>08:00</t>
  </si>
  <si>
    <t>09:30</t>
  </si>
  <si>
    <t>Full exterior window cleaning — 12 windows</t>
  </si>
  <si>
    <t>Mike C.</t>
  </si>
  <si>
    <t>Scheduled</t>
  </si>
  <si>
    <t>Unpaid</t>
  </si>
  <si>
    <t>—</t>
  </si>
  <si>
    <t>JOB-0002</t>
  </si>
  <si>
    <t>10:00</t>
  </si>
  <si>
    <t>10:45</t>
  </si>
  <si>
    <t>Storefront glass — 3 panels inside &amp; out</t>
  </si>
  <si>
    <t>JOB-0003</t>
  </si>
  <si>
    <t>11:30</t>
  </si>
  <si>
    <t>14:00</t>
  </si>
  <si>
    <t>All lobby windows + parking lot pressure wash</t>
  </si>
  <si>
    <t>JOB-0004</t>
  </si>
  <si>
    <t>Michael Torres</t>
  </si>
  <si>
    <t>2026-04-01</t>
  </si>
  <si>
    <t>Wednesday</t>
  </si>
  <si>
    <t>09:00</t>
  </si>
  <si>
    <t>Whole house exterior windows — 14 panes</t>
  </si>
  <si>
    <t>Jake R.</t>
  </si>
  <si>
    <t>JOB-0005</t>
  </si>
  <si>
    <t>Robert Martinez</t>
  </si>
  <si>
    <t>11:00</t>
  </si>
  <si>
    <t>12:15</t>
  </si>
  <si>
    <t>Driveway + back patio pressure wash</t>
  </si>
  <si>
    <t>🗺️  DAILY ROUTE PLANNER — AI-Prowler Route Optimization</t>
  </si>
  <si>
    <t>★  Ask AI-Prowler: "Optimize my route for [DATE] and build a map URL for all stops"  → AI-Prowler will fill Lat/Lon, reorder stops, and generate the Google Maps waypoint URL</t>
  </si>
  <si>
    <t>Route
Date</t>
  </si>
  <si>
    <t>Stop
#</t>
  </si>
  <si>
    <t>JobID</t>
  </si>
  <si>
    <t>CustomerID</t>
  </si>
  <si>
    <t>Street Address
★ AI Geocode</t>
  </si>
  <si>
    <t>City</t>
  </si>
  <si>
    <t>ZIP</t>
  </si>
  <si>
    <t>Latitude
(AI Fill)</t>
  </si>
  <si>
    <t>Longitude
(AI Fill)</t>
  </si>
  <si>
    <t>Sched.
Arrival</t>
  </si>
  <si>
    <t>Sched.
Depart</t>
  </si>
  <si>
    <t>Drive Time
from Prev. (min)</t>
  </si>
  <si>
    <t>Duration
(min)</t>
  </si>
  <si>
    <t>Waypoint
Map URL
★ AI Prowler</t>
  </si>
  <si>
    <t>12</t>
  </si>
  <si>
    <t>20</t>
  </si>
  <si>
    <t>28</t>
  </si>
  <si>
    <t>💰  QUOTES — Estimates Sent to Customers</t>
  </si>
  <si>
    <t>QuoteID
(QTE-####)</t>
  </si>
  <si>
    <t>Address</t>
  </si>
  <si>
    <t>Quote
Date</t>
  </si>
  <si>
    <t>Valid
Until</t>
  </si>
  <si>
    <t>Service
Description</t>
  </si>
  <si>
    <t>Sq Ft /
Units</t>
  </si>
  <si>
    <t>Unit
Price ($)</t>
  </si>
  <si>
    <t>Labor
Cost ($)</t>
  </si>
  <si>
    <t>Materials
($)</t>
  </si>
  <si>
    <t>Subtotal
($)</t>
  </si>
  <si>
    <t>Discount
Amt ($)</t>
  </si>
  <si>
    <t>Tax (7%)
($)</t>
  </si>
  <si>
    <t>QUOTE
TOTAL ($)</t>
  </si>
  <si>
    <t>QTE-0001</t>
  </si>
  <si>
    <t>2026-03-25</t>
  </si>
  <si>
    <t>2026-04-25</t>
  </si>
  <si>
    <t>Full exterior window cleaning 12 windows</t>
  </si>
  <si>
    <t>QTE-0002</t>
  </si>
  <si>
    <t>2026-03-26</t>
  </si>
  <si>
    <t>2026-04-26</t>
  </si>
  <si>
    <t>Whole house exterior 14 panes</t>
  </si>
  <si>
    <t>QTE-0003</t>
  </si>
  <si>
    <t>CUST-0006</t>
  </si>
  <si>
    <t>Prospect Corp</t>
  </si>
  <si>
    <t>TBD</t>
  </si>
  <si>
    <t>2026-03-27</t>
  </si>
  <si>
    <t>2026-04-27</t>
  </si>
  <si>
    <t>Office building windows + parking lot pressure</t>
  </si>
  <si>
    <t>🧾  INVOICES — Billing &amp; Payment Tracking</t>
  </si>
  <si>
    <t>QuickBooks
Invoice #</t>
  </si>
  <si>
    <t>Invoice
Date</t>
  </si>
  <si>
    <t>Due
Date
(Net 30)</t>
  </si>
  <si>
    <t>Description</t>
  </si>
  <si>
    <t>Discount
($)</t>
  </si>
  <si>
    <t>Taxable
Amt ($)</t>
  </si>
  <si>
    <t>Tax 7%
($)</t>
  </si>
  <si>
    <t>TOTAL
DUE ($)</t>
  </si>
  <si>
    <t>Amount
Paid ($)</t>
  </si>
  <si>
    <t>Balance
Due ($)</t>
  </si>
  <si>
    <t>Payment
Date</t>
  </si>
  <si>
    <t>Payment
Method</t>
  </si>
  <si>
    <t>INV-0001</t>
  </si>
  <si>
    <t>2026-04-29</t>
  </si>
  <si>
    <t>Exterior window cleaning — 12 windows</t>
  </si>
  <si>
    <t>INV-0002</t>
  </si>
  <si>
    <t>Storefront glass cleaning — 3 panels</t>
  </si>
  <si>
    <t>INV-0003</t>
  </si>
  <si>
    <t>Lobby windows + parking lot pressure wash</t>
  </si>
  <si>
    <t>📊  QUICKBOOKS DAILY EXPORT — Ready for QB Import</t>
  </si>
  <si>
    <t>★  Ask AI-Prowler: "Update QuickBooks with today's completed jobs"  → AI-Prowler will use update_job_spreadsheet to mark completed rows and flag them for QB sync</t>
  </si>
  <si>
    <t>Export
Date</t>
  </si>
  <si>
    <t>QB Sync
Status</t>
  </si>
  <si>
    <t>InvoiceID</t>
  </si>
  <si>
    <t>QB Invoice #
(After Sync)</t>
  </si>
  <si>
    <t>QB Customer
ID</t>
  </si>
  <si>
    <t>Customer
Name</t>
  </si>
  <si>
    <t>Due
Date</t>
  </si>
  <si>
    <t>Tax
($)</t>
  </si>
  <si>
    <t>TOTAL
($)</t>
  </si>
  <si>
    <t>Notes /
QB Memo</t>
  </si>
  <si>
    <t>Pending Sync</t>
  </si>
  <si>
    <t>Window cleaning — 12 windows</t>
  </si>
  <si>
    <t>Auto-export 3/30/26</t>
  </si>
  <si>
    <t>Storefront glass — 3 panels</t>
  </si>
  <si>
    <t>Lobby windows + parking lot pressure</t>
  </si>
  <si>
    <t>🪣  SERVICES &amp; PRICING CATALOG</t>
  </si>
  <si>
    <t>Service
Code</t>
  </si>
  <si>
    <t>Service
Category</t>
  </si>
  <si>
    <t>Service
Name / Description</t>
  </si>
  <si>
    <t>Base
Price ($)</t>
  </si>
  <si>
    <t>Unit /
Basis</t>
  </si>
  <si>
    <t>Min.
Charge ($)</t>
  </si>
  <si>
    <t>Comm.
Multiplier</t>
  </si>
  <si>
    <t>Tax
Category</t>
  </si>
  <si>
    <t>Notes</t>
  </si>
  <si>
    <t>WIN-01</t>
  </si>
  <si>
    <t>Window Washing</t>
  </si>
  <si>
    <t>Residential — per window pane</t>
  </si>
  <si>
    <t>per pane</t>
  </si>
  <si>
    <t>Taxable</t>
  </si>
  <si>
    <t>Standard single/double pane</t>
  </si>
  <si>
    <t>WIN-02</t>
  </si>
  <si>
    <t>Commercial storefront — per panel</t>
  </si>
  <si>
    <t>per panel</t>
  </si>
  <si>
    <t>Large glass panels</t>
  </si>
  <si>
    <t>WIN-03</t>
  </si>
  <si>
    <t>High-rise / 2nd story add-on</t>
  </si>
  <si>
    <t>Added to base window price</t>
  </si>
  <si>
    <t>WIN-04</t>
  </si>
  <si>
    <t>Screen cleaning</t>
  </si>
  <si>
    <t>per screen</t>
  </si>
  <si>
    <t>Remove, clean, reinstall</t>
  </si>
  <si>
    <t>WIN-05</t>
  </si>
  <si>
    <t>Interior + Exterior combo</t>
  </si>
  <si>
    <t>Both sides</t>
  </si>
  <si>
    <t>PRE-01</t>
  </si>
  <si>
    <t>Pressure Washing</t>
  </si>
  <si>
    <t>Driveway / concrete</t>
  </si>
  <si>
    <t>per sq ft</t>
  </si>
  <si>
    <t>Up to 3000 PSI</t>
  </si>
  <si>
    <t>PRE-02</t>
  </si>
  <si>
    <t>House siding / exterior</t>
  </si>
  <si>
    <t>Soft wash available</t>
  </si>
  <si>
    <t>PRE-03</t>
  </si>
  <si>
    <t>Deck / wood surface</t>
  </si>
  <si>
    <t>Includes pre-treat</t>
  </si>
  <si>
    <t>PRE-04</t>
  </si>
  <si>
    <t>Fence — vinyl/wood</t>
  </si>
  <si>
    <t>per linear ft</t>
  </si>
  <si>
    <t>PRE-05</t>
  </si>
  <si>
    <t>Roof soft wash</t>
  </si>
  <si>
    <t>Low pressure method</t>
  </si>
  <si>
    <t>PKG-01</t>
  </si>
  <si>
    <t>Package Deal</t>
  </si>
  <si>
    <t>Window + Pressure combo</t>
  </si>
  <si>
    <t>Flat / custom</t>
  </si>
  <si>
    <t>Quote per site visit</t>
  </si>
  <si>
    <t>PKG-02</t>
  </si>
  <si>
    <t>Recurring monthly contract</t>
  </si>
  <si>
    <t>Monthly flat</t>
  </si>
  <si>
    <t>Min 3-month commitment</t>
  </si>
  <si>
    <t>🤖  AI-PROWLER QUICK COMMAND REFERENCE</t>
  </si>
  <si>
    <t>ROUTING &amp; MAPPING</t>
  </si>
  <si>
    <t>Task</t>
  </si>
  <si>
    <t>Example Prompt for AI-Prowler</t>
  </si>
  <si>
    <t>Tool Used</t>
  </si>
  <si>
    <t>Sheet Updated</t>
  </si>
  <si>
    <t>Geocode new customer address</t>
  </si>
  <si>
    <t>Geocode this address: 125 Harbor Blvd, NSB FL 32168</t>
  </si>
  <si>
    <t>geocode_address</t>
  </si>
  <si>
    <t>Customers col M,N / Jobs_Schedule col I,J</t>
  </si>
  <si>
    <t>Build route map URL</t>
  </si>
  <si>
    <t>Build a Google Maps URL for my Monday March 30 stops</t>
  </si>
  <si>
    <t>build_maps_url</t>
  </si>
  <si>
    <t>Route_Planner col R</t>
  </si>
  <si>
    <t>Optimize stop order</t>
  </si>
  <si>
    <t>Optimize my route for Monday March 30 starting from [depot address]</t>
  </si>
  <si>
    <t>get_route_optimization</t>
  </si>
  <si>
    <t>Route_Planner col C</t>
  </si>
  <si>
    <t>SCHEDULING</t>
  </si>
  <si>
    <t>Schedule a new job</t>
  </si>
  <si>
    <t>Schedule window washing for CUST-0002 on April 5 at 9am</t>
  </si>
  <si>
    <t>update_job_spreadsheet</t>
  </si>
  <si>
    <t>Jobs_Schedule</t>
  </si>
  <si>
    <t>Check weather before job</t>
  </si>
  <si>
    <t>What's the weather forecast for New Smyrna Beach on April 5?</t>
  </si>
  <si>
    <t>get_weather</t>
  </si>
  <si>
    <t>Jobs_Schedule col V</t>
  </si>
  <si>
    <t>List jobs for a date</t>
  </si>
  <si>
    <t>Show me all jobs scheduled for Monday March 30</t>
  </si>
  <si>
    <t>search_documents</t>
  </si>
  <si>
    <t>INVOICING &amp; QB</t>
  </si>
  <si>
    <t>Mark job complete</t>
  </si>
  <si>
    <t>Mark JOB-0001 as completed with actual duration 85 min</t>
  </si>
  <si>
    <t>Jobs_Schedule col S,W</t>
  </si>
  <si>
    <t>Create invoice</t>
  </si>
  <si>
    <t>Create invoice for all completed jobs on March 30</t>
  </si>
  <si>
    <t>Invoices / QB_Daily_Export</t>
  </si>
  <si>
    <t>Daily QB sync</t>
  </si>
  <si>
    <t>Update QuickBooks with today's completed and invoiced jobs</t>
  </si>
  <si>
    <t>QB_Daily_Export col B,D</t>
  </si>
  <si>
    <t>Find unpaid invoices</t>
  </si>
  <si>
    <t>Show me all overdue unpaid invoices</t>
  </si>
  <si>
    <t>Invoices</t>
  </si>
  <si>
    <t>CUSTOMER MANAGEMENT</t>
  </si>
  <si>
    <t>Look up customer</t>
  </si>
  <si>
    <t>Find the service history for Harbor Inn Motel</t>
  </si>
  <si>
    <t>Customers / Jobs_Schedule</t>
  </si>
  <si>
    <t>Recurring schedule</t>
  </si>
  <si>
    <t>Which customers are due for service this week?</t>
  </si>
  <si>
    <t>Revenue report</t>
  </si>
  <si>
    <t>What is total revenue collected this month?</t>
  </si>
  <si>
    <t>🪟  Cronin Cleaning SERVICES — Customer Master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</si>
</sst>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mm/dd/yyyy"/>
    <numFmt numFmtId="166" formatCode="0.00\x"/>
  </numFmts>
  <fonts count="1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9"/>
      <color rgb="FF000000"/>
      <name val="Arial"/>
      <charset val="1"/>
    </font>
    <font>
      <i/>
      <sz val="9"/>
      <color rgb="FF000000"/>
      <name val="Arial"/>
      <charset val="1"/>
    </font>
    <font>
      <b/>
      <sz val="9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FFD966"/>
        <bgColor rgb="FFFFFF99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B8CCE4"/>
      </patternFill>
    </fill>
    <fill>
      <patternFill patternType="solid">
        <fgColor rgb="FF9DC3E6"/>
        <bgColor rgb="FFB8CCE4"/>
      </patternFill>
    </fill>
  </fills>
  <borders count="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right" vertical="center" wrapText="1"/>
    </xf>
    <xf numFmtId="9" fontId="4" fillId="5" borderId="1" xfId="0" applyNumberFormat="1" applyFont="1" applyFill="1" applyBorder="1" applyAlignment="1">
      <alignment horizontal="right" vertical="center" wrapText="1"/>
    </xf>
    <xf numFmtId="165" fontId="4" fillId="5" borderId="1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 wrapText="1"/>
    </xf>
    <xf numFmtId="9" fontId="4" fillId="6" borderId="1" xfId="0" applyNumberFormat="1" applyFont="1" applyFill="1" applyBorder="1" applyAlignment="1">
      <alignment horizontal="right" vertical="center" wrapText="1"/>
    </xf>
    <xf numFmtId="165" fontId="4" fillId="6" borderId="1" xfId="0" applyNumberFormat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166" fontId="4" fillId="5" borderId="1" xfId="0" applyNumberFormat="1" applyFont="1" applyFill="1" applyBorder="1" applyAlignment="1">
      <alignment horizontal="center" vertical="center" wrapText="1"/>
    </xf>
    <xf numFmtId="166" fontId="4" fillId="6" borderId="1" xfId="0" applyNumberFormat="1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left" vertical="center" wrapText="1" indent="1"/>
    </xf>
    <xf numFmtId="0" fontId="10" fillId="6" borderId="1" xfId="0" applyFont="1" applyFill="1" applyBorder="1" applyAlignment="1">
      <alignment horizontal="left" vertical="center" wrapText="1" indent="1"/>
    </xf>
    <xf numFmtId="0" fontId="10" fillId="4" borderId="1" xfId="0" applyFont="1" applyFill="1" applyBorder="1" applyAlignment="1">
      <alignment horizontal="left" vertical="center" wrapText="1" indent="1"/>
    </xf>
    <xf numFmtId="0" fontId="10" fillId="5" borderId="1" xfId="0" applyFont="1" applyFill="1" applyBorder="1" applyAlignment="1">
      <alignment horizontal="left" vertical="center" wrapText="1" indent="1"/>
    </xf>
    <xf numFmtId="0" fontId="4" fillId="6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indent="1"/>
    </xf>
  </cellXfs>
  <cellStyles count="1">
    <cellStyle name="Normal" xfId="0" builtinId="0"/>
  </cellStyles>
  <dxfs count="6">
    <dxf>
      <font>
        <b/>
        <sz val="9"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sz val="9"/>
        <color rgb="FF375623"/>
        <name val="Arial"/>
        <charset val="1"/>
      </font>
      <fill>
        <patternFill>
          <bgColor rgb="FFE2EFDA"/>
        </patternFill>
      </fill>
    </dxf>
    <dxf>
      <font>
        <b/>
        <sz val="9"/>
        <color rgb="FFC00000"/>
        <name val="Arial"/>
        <charset val="1"/>
      </font>
      <fill>
        <patternFill>
          <bgColor rgb="FFFCE4D6"/>
        </patternFill>
      </fill>
    </dxf>
    <dxf>
      <font>
        <sz val="9"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7030A0"/>
      <rgbColor rgb="FFFCE4D6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DC3E6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</sheetPr>
  <dimension ref="A1:AC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8" sqref="B8"/>
    </sheetView>
  </sheetViews>
  <sheetFormatPr defaultColWidth="8.6328125" defaultRowHeight="14.5" x14ac:dyDescent="0.35"/>
  <cols>
    <col min="1" max="2" width="14" customWidth="1"/>
    <col min="3" max="3" width="12" customWidth="1"/>
    <col min="4" max="4" width="22" customWidth="1"/>
    <col min="5" max="6" width="13" customWidth="1"/>
    <col min="7" max="7" width="14" customWidth="1"/>
    <col min="8" max="8" width="24" customWidth="1"/>
    <col min="9" max="9" width="22" customWidth="1"/>
    <col min="10" max="10" width="15" customWidth="1"/>
    <col min="11" max="11" width="7" customWidth="1"/>
    <col min="12" max="12" width="10" customWidth="1"/>
    <col min="13" max="14" width="12" customWidth="1"/>
    <col min="15" max="15" width="16" customWidth="1"/>
    <col min="16" max="16" width="12" customWidth="1"/>
    <col min="17" max="17" width="14" customWidth="1"/>
    <col min="18" max="18" width="13" customWidth="1"/>
    <col min="19" max="19" width="10" customWidth="1"/>
    <col min="20" max="20" width="13" customWidth="1"/>
    <col min="21" max="21" width="10" customWidth="1"/>
    <col min="22" max="22" width="13" customWidth="1"/>
    <col min="23" max="24" width="14" customWidth="1"/>
    <col min="25" max="25" width="12" customWidth="1"/>
    <col min="26" max="26" width="14" customWidth="1"/>
    <col min="27" max="27" width="22" customWidth="1"/>
    <col min="28" max="28" width="16" customWidth="1"/>
    <col min="29" max="29" width="12" customWidth="1"/>
  </cols>
  <sheetData>
    <row r="1" spans="1:29" ht="13.5" customHeight="1" x14ac:dyDescent="0.35">
      <c r="A1" s="24" t="s">
        <v>351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</row>
    <row r="2" spans="1:29" ht="42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</row>
    <row r="3" spans="1:29" ht="23" x14ac:dyDescent="0.3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  <c r="H3" s="3" t="s">
        <v>36</v>
      </c>
      <c r="I3" s="4" t="s">
        <v>37</v>
      </c>
      <c r="J3" s="4" t="s">
        <v>38</v>
      </c>
      <c r="K3" s="4" t="s">
        <v>39</v>
      </c>
      <c r="L3" s="4" t="s">
        <v>40</v>
      </c>
      <c r="M3" s="4"/>
      <c r="N3" s="4"/>
      <c r="O3" s="3" t="s">
        <v>41</v>
      </c>
      <c r="P3" s="3" t="s">
        <v>42</v>
      </c>
      <c r="Q3" s="3" t="s">
        <v>43</v>
      </c>
      <c r="R3" s="3" t="s">
        <v>44</v>
      </c>
      <c r="S3" s="3">
        <v>90</v>
      </c>
      <c r="T3" s="5">
        <v>350</v>
      </c>
      <c r="U3" s="6">
        <v>0.1</v>
      </c>
      <c r="V3" s="5">
        <f>T3*(1-U3)</f>
        <v>315</v>
      </c>
      <c r="W3" s="7"/>
      <c r="X3" s="7"/>
      <c r="Y3" s="8"/>
      <c r="Z3" s="5">
        <f>V3</f>
        <v>315</v>
      </c>
      <c r="AA3" s="3" t="s">
        <v>45</v>
      </c>
      <c r="AB3" s="3" t="s">
        <v>46</v>
      </c>
      <c r="AC3" s="3" t="s">
        <v>47</v>
      </c>
    </row>
    <row r="4" spans="1:29" x14ac:dyDescent="0.35">
      <c r="A4" s="9" t="s">
        <v>48</v>
      </c>
      <c r="B4" s="9" t="s">
        <v>49</v>
      </c>
      <c r="C4" s="9" t="s">
        <v>50</v>
      </c>
      <c r="D4" s="9"/>
      <c r="E4" s="9" t="s">
        <v>51</v>
      </c>
      <c r="F4" s="9" t="s">
        <v>52</v>
      </c>
      <c r="G4" s="9" t="s">
        <v>53</v>
      </c>
      <c r="H4" s="9" t="s">
        <v>54</v>
      </c>
      <c r="I4" s="4" t="s">
        <v>55</v>
      </c>
      <c r="J4" s="4" t="s">
        <v>56</v>
      </c>
      <c r="K4" s="4" t="s">
        <v>39</v>
      </c>
      <c r="L4" s="4" t="s">
        <v>57</v>
      </c>
      <c r="M4" s="4"/>
      <c r="N4" s="4"/>
      <c r="O4" s="9" t="s">
        <v>58</v>
      </c>
      <c r="P4" s="9" t="s">
        <v>59</v>
      </c>
      <c r="Q4" s="9" t="s">
        <v>60</v>
      </c>
      <c r="R4" s="9" t="s">
        <v>61</v>
      </c>
      <c r="S4" s="9">
        <v>60</v>
      </c>
      <c r="T4" s="10">
        <v>185</v>
      </c>
      <c r="U4" s="11">
        <v>0</v>
      </c>
      <c r="V4" s="10">
        <f>T4*(1-U4)</f>
        <v>185</v>
      </c>
      <c r="W4" s="12"/>
      <c r="X4" s="12"/>
      <c r="Y4" s="13"/>
      <c r="Z4" s="10">
        <f>V4</f>
        <v>185</v>
      </c>
      <c r="AA4" s="9" t="s">
        <v>62</v>
      </c>
      <c r="AB4" s="9"/>
      <c r="AC4" s="9" t="s">
        <v>47</v>
      </c>
    </row>
    <row r="5" spans="1:29" ht="23" x14ac:dyDescent="0.35">
      <c r="A5" s="3" t="s">
        <v>63</v>
      </c>
      <c r="B5" s="3" t="s">
        <v>64</v>
      </c>
      <c r="C5" s="3" t="s">
        <v>31</v>
      </c>
      <c r="D5" s="3" t="s">
        <v>65</v>
      </c>
      <c r="E5" s="3" t="s">
        <v>66</v>
      </c>
      <c r="F5" s="3" t="s">
        <v>67</v>
      </c>
      <c r="G5" s="3" t="s">
        <v>68</v>
      </c>
      <c r="H5" s="3" t="s">
        <v>69</v>
      </c>
      <c r="I5" s="4" t="s">
        <v>70</v>
      </c>
      <c r="J5" s="4" t="s">
        <v>38</v>
      </c>
      <c r="K5" s="4" t="s">
        <v>39</v>
      </c>
      <c r="L5" s="4" t="s">
        <v>40</v>
      </c>
      <c r="M5" s="4"/>
      <c r="N5" s="4"/>
      <c r="O5" s="3" t="s">
        <v>58</v>
      </c>
      <c r="P5" s="3" t="s">
        <v>42</v>
      </c>
      <c r="Q5" s="3" t="s">
        <v>71</v>
      </c>
      <c r="R5" s="3" t="s">
        <v>72</v>
      </c>
      <c r="S5" s="3">
        <v>45</v>
      </c>
      <c r="T5" s="5">
        <v>220</v>
      </c>
      <c r="U5" s="6">
        <v>0.05</v>
      </c>
      <c r="V5" s="5">
        <f>T5*(1-U5)</f>
        <v>209</v>
      </c>
      <c r="W5" s="7"/>
      <c r="X5" s="7"/>
      <c r="Y5" s="8"/>
      <c r="Z5" s="5">
        <f>V5</f>
        <v>209</v>
      </c>
      <c r="AA5" s="3" t="s">
        <v>73</v>
      </c>
      <c r="AB5" s="3" t="s">
        <v>74</v>
      </c>
      <c r="AC5" s="3" t="s">
        <v>47</v>
      </c>
    </row>
    <row r="6" spans="1:29" x14ac:dyDescent="0.35">
      <c r="A6" s="9" t="s">
        <v>75</v>
      </c>
      <c r="B6" s="9" t="s">
        <v>76</v>
      </c>
      <c r="C6" s="9" t="s">
        <v>50</v>
      </c>
      <c r="D6" s="9"/>
      <c r="E6" s="9" t="s">
        <v>77</v>
      </c>
      <c r="F6" s="9" t="s">
        <v>78</v>
      </c>
      <c r="G6" s="9" t="s">
        <v>79</v>
      </c>
      <c r="H6" s="9" t="s">
        <v>80</v>
      </c>
      <c r="I6" s="4" t="s">
        <v>81</v>
      </c>
      <c r="J6" s="4" t="s">
        <v>82</v>
      </c>
      <c r="K6" s="4" t="s">
        <v>39</v>
      </c>
      <c r="L6" s="4" t="s">
        <v>83</v>
      </c>
      <c r="M6" s="4"/>
      <c r="N6" s="4"/>
      <c r="O6" s="9" t="s">
        <v>84</v>
      </c>
      <c r="P6" s="9" t="s">
        <v>85</v>
      </c>
      <c r="Q6" s="9" t="s">
        <v>86</v>
      </c>
      <c r="R6" s="9" t="s">
        <v>87</v>
      </c>
      <c r="S6" s="9">
        <v>75</v>
      </c>
      <c r="T6" s="10">
        <v>160</v>
      </c>
      <c r="U6" s="11">
        <v>0</v>
      </c>
      <c r="V6" s="10">
        <f>T6*(1-U6)</f>
        <v>160</v>
      </c>
      <c r="W6" s="12"/>
      <c r="X6" s="12"/>
      <c r="Y6" s="13"/>
      <c r="Z6" s="10">
        <f>V6</f>
        <v>160</v>
      </c>
      <c r="AA6" s="9" t="s">
        <v>88</v>
      </c>
      <c r="AB6" s="9"/>
      <c r="AC6" s="9" t="s">
        <v>47</v>
      </c>
    </row>
    <row r="7" spans="1:29" ht="23" x14ac:dyDescent="0.35">
      <c r="A7" s="3" t="s">
        <v>89</v>
      </c>
      <c r="B7" s="3" t="s">
        <v>90</v>
      </c>
      <c r="C7" s="3" t="s">
        <v>31</v>
      </c>
      <c r="D7" s="3" t="s">
        <v>91</v>
      </c>
      <c r="E7" s="3" t="s">
        <v>92</v>
      </c>
      <c r="F7" s="3" t="s">
        <v>93</v>
      </c>
      <c r="G7" s="3" t="s">
        <v>94</v>
      </c>
      <c r="H7" s="3" t="s">
        <v>95</v>
      </c>
      <c r="I7" s="4" t="s">
        <v>96</v>
      </c>
      <c r="J7" s="4" t="s">
        <v>38</v>
      </c>
      <c r="K7" s="4" t="s">
        <v>39</v>
      </c>
      <c r="L7" s="4" t="s">
        <v>40</v>
      </c>
      <c r="M7" s="4"/>
      <c r="N7" s="4"/>
      <c r="O7" s="3" t="s">
        <v>41</v>
      </c>
      <c r="P7" s="3" t="s">
        <v>85</v>
      </c>
      <c r="Q7" s="3" t="s">
        <v>97</v>
      </c>
      <c r="R7" s="3" t="s">
        <v>98</v>
      </c>
      <c r="S7" s="3">
        <v>150</v>
      </c>
      <c r="T7" s="5">
        <v>625</v>
      </c>
      <c r="U7" s="6">
        <v>0.15</v>
      </c>
      <c r="V7" s="5">
        <f>T7*(1-U7)</f>
        <v>531.25</v>
      </c>
      <c r="W7" s="7"/>
      <c r="X7" s="7"/>
      <c r="Y7" s="8"/>
      <c r="Z7" s="5">
        <f>V7</f>
        <v>531.25</v>
      </c>
      <c r="AA7" s="3" t="s">
        <v>99</v>
      </c>
      <c r="AB7" s="3" t="s">
        <v>100</v>
      </c>
      <c r="AC7" s="3" t="s">
        <v>47</v>
      </c>
    </row>
    <row r="8" spans="1:29" x14ac:dyDescent="0.35">
      <c r="A8" s="23" t="s">
        <v>201</v>
      </c>
    </row>
  </sheetData>
  <mergeCells count="1">
    <mergeCell ref="A1:AC1"/>
  </mergeCells>
  <dataValidations count="4">
    <dataValidation type="list" allowBlank="1" sqref="C3:C300" xr:uid="{00000000-0002-0000-0000-000000000000}">
      <formula1>"Commercial,Residential"</formula1>
      <formula2>0</formula2>
    </dataValidation>
    <dataValidation type="list" allowBlank="1" sqref="P3:P300" xr:uid="{00000000-0002-0000-0000-000001000000}">
      <formula1>"Weekly,Biweekly,Monthly,Quarterly,One-Time"</formula1>
      <formula2>0</formula2>
    </dataValidation>
    <dataValidation type="list" allowBlank="1" sqref="O3:O300" xr:uid="{00000000-0002-0000-0000-000002000000}">
      <formula1>"Window,Pressure,Both"</formula1>
      <formula2>0</formula2>
    </dataValidation>
    <dataValidation type="list" allowBlank="1" sqref="AC3:AC300" xr:uid="{00000000-0002-0000-0000-000003000000}">
      <formula1>"Active,Inactive,Prospect"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AF7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AF1"/>
    </sheetView>
  </sheetViews>
  <sheetFormatPr defaultColWidth="8.6328125" defaultRowHeight="14.5" x14ac:dyDescent="0.35"/>
  <cols>
    <col min="1" max="1" width="13" customWidth="1"/>
    <col min="2" max="2" width="14" customWidth="1"/>
    <col min="3" max="3" width="22" customWidth="1"/>
    <col min="4" max="4" width="12" customWidth="1"/>
    <col min="5" max="5" width="22" customWidth="1"/>
    <col min="6" max="6" width="15" customWidth="1"/>
    <col min="7" max="7" width="7" customWidth="1"/>
    <col min="8" max="8" width="10" customWidth="1"/>
    <col min="9" max="10" width="12" customWidth="1"/>
    <col min="11" max="11" width="13" customWidth="1"/>
    <col min="12" max="14" width="11" customWidth="1"/>
    <col min="15" max="15" width="14" customWidth="1"/>
    <col min="16" max="16" width="28" customWidth="1"/>
    <col min="17" max="17" width="14" customWidth="1"/>
    <col min="18" max="19" width="12" customWidth="1"/>
    <col min="20" max="20" width="11" customWidth="1"/>
    <col min="21" max="21" width="18" customWidth="1"/>
    <col min="22" max="23" width="14" customWidth="1"/>
    <col min="24" max="26" width="13" customWidth="1"/>
    <col min="27" max="27" width="11" customWidth="1"/>
    <col min="28" max="28" width="13" customWidth="1"/>
    <col min="29" max="29" width="14" customWidth="1"/>
    <col min="30" max="31" width="13" customWidth="1"/>
    <col min="32" max="32" width="11" customWidth="1"/>
  </cols>
  <sheetData>
    <row r="1" spans="1:32" ht="13.5" customHeight="1" x14ac:dyDescent="0.35">
      <c r="A1" s="24" t="s">
        <v>101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 spans="1:32" ht="48" customHeight="1" x14ac:dyDescent="0.35">
      <c r="A2" s="1" t="s">
        <v>102</v>
      </c>
      <c r="B2" s="1" t="s">
        <v>103</v>
      </c>
      <c r="C2" s="1" t="s">
        <v>104</v>
      </c>
      <c r="D2" s="1" t="s">
        <v>105</v>
      </c>
      <c r="E2" s="2" t="s">
        <v>106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1" t="s">
        <v>107</v>
      </c>
      <c r="L2" s="1" t="s">
        <v>108</v>
      </c>
      <c r="M2" s="1" t="s">
        <v>109</v>
      </c>
      <c r="N2" s="1" t="s">
        <v>110</v>
      </c>
      <c r="O2" s="1" t="s">
        <v>111</v>
      </c>
      <c r="P2" s="1" t="s">
        <v>112</v>
      </c>
      <c r="Q2" s="1" t="s">
        <v>113</v>
      </c>
      <c r="R2" s="1" t="s">
        <v>114</v>
      </c>
      <c r="S2" s="1" t="s">
        <v>115</v>
      </c>
      <c r="T2" s="2" t="s">
        <v>116</v>
      </c>
      <c r="U2" s="2" t="s">
        <v>117</v>
      </c>
      <c r="V2" s="2" t="s">
        <v>118</v>
      </c>
      <c r="W2" s="1" t="s">
        <v>119</v>
      </c>
      <c r="X2" s="1" t="s">
        <v>120</v>
      </c>
      <c r="Y2" s="1" t="s">
        <v>121</v>
      </c>
      <c r="Z2" s="1" t="s">
        <v>122</v>
      </c>
      <c r="AA2" s="1" t="s">
        <v>123</v>
      </c>
      <c r="AB2" s="1" t="s">
        <v>124</v>
      </c>
      <c r="AC2" s="1" t="s">
        <v>125</v>
      </c>
      <c r="AD2" s="1" t="s">
        <v>126</v>
      </c>
      <c r="AE2" s="1" t="s">
        <v>127</v>
      </c>
      <c r="AF2" s="1" t="s">
        <v>128</v>
      </c>
    </row>
    <row r="3" spans="1:32" ht="23" x14ac:dyDescent="0.35">
      <c r="A3" s="3" t="s">
        <v>129</v>
      </c>
      <c r="B3" s="3" t="s">
        <v>29</v>
      </c>
      <c r="C3" s="3" t="s">
        <v>32</v>
      </c>
      <c r="D3" s="3" t="s">
        <v>31</v>
      </c>
      <c r="E3" s="4" t="s">
        <v>37</v>
      </c>
      <c r="F3" s="4" t="s">
        <v>38</v>
      </c>
      <c r="G3" s="4" t="s">
        <v>39</v>
      </c>
      <c r="H3" s="4" t="s">
        <v>40</v>
      </c>
      <c r="I3" s="4"/>
      <c r="J3" s="4"/>
      <c r="K3" s="7" t="s">
        <v>130</v>
      </c>
      <c r="L3" s="3" t="s">
        <v>131</v>
      </c>
      <c r="M3" s="3" t="s">
        <v>132</v>
      </c>
      <c r="N3" s="3" t="s">
        <v>133</v>
      </c>
      <c r="O3" s="3" t="s">
        <v>58</v>
      </c>
      <c r="P3" s="3" t="s">
        <v>134</v>
      </c>
      <c r="Q3" s="3" t="s">
        <v>135</v>
      </c>
      <c r="R3" s="3">
        <v>90</v>
      </c>
      <c r="S3" s="3"/>
      <c r="T3" s="4">
        <v>1</v>
      </c>
      <c r="U3" s="4"/>
      <c r="V3" s="4"/>
      <c r="W3" s="3" t="s">
        <v>136</v>
      </c>
      <c r="X3" s="5">
        <v>350</v>
      </c>
      <c r="Y3" s="5"/>
      <c r="Z3" s="5">
        <v>0</v>
      </c>
      <c r="AA3" s="5">
        <f>Y3*0.07</f>
        <v>0</v>
      </c>
      <c r="AB3" s="5">
        <f>Y3+AA3</f>
        <v>0</v>
      </c>
      <c r="AC3" s="3"/>
      <c r="AD3" s="7"/>
      <c r="AE3" s="3" t="s">
        <v>137</v>
      </c>
      <c r="AF3" s="3" t="s">
        <v>138</v>
      </c>
    </row>
    <row r="4" spans="1:32" ht="23" x14ac:dyDescent="0.35">
      <c r="A4" s="9" t="s">
        <v>139</v>
      </c>
      <c r="B4" s="9" t="s">
        <v>63</v>
      </c>
      <c r="C4" s="9" t="s">
        <v>65</v>
      </c>
      <c r="D4" s="9" t="s">
        <v>31</v>
      </c>
      <c r="E4" s="4" t="s">
        <v>70</v>
      </c>
      <c r="F4" s="4" t="s">
        <v>38</v>
      </c>
      <c r="G4" s="4" t="s">
        <v>39</v>
      </c>
      <c r="H4" s="4" t="s">
        <v>40</v>
      </c>
      <c r="I4" s="4"/>
      <c r="J4" s="4"/>
      <c r="K4" s="12" t="s">
        <v>130</v>
      </c>
      <c r="L4" s="9" t="s">
        <v>131</v>
      </c>
      <c r="M4" s="9" t="s">
        <v>140</v>
      </c>
      <c r="N4" s="9" t="s">
        <v>141</v>
      </c>
      <c r="O4" s="9" t="s">
        <v>58</v>
      </c>
      <c r="P4" s="9" t="s">
        <v>142</v>
      </c>
      <c r="Q4" s="9" t="s">
        <v>135</v>
      </c>
      <c r="R4" s="9">
        <v>45</v>
      </c>
      <c r="S4" s="9"/>
      <c r="T4" s="4">
        <v>2</v>
      </c>
      <c r="U4" s="4"/>
      <c r="V4" s="4"/>
      <c r="W4" s="9" t="s">
        <v>136</v>
      </c>
      <c r="X4" s="10">
        <v>220</v>
      </c>
      <c r="Y4" s="10"/>
      <c r="Z4" s="10">
        <v>0</v>
      </c>
      <c r="AA4" s="10">
        <f>Y4*0.07</f>
        <v>0</v>
      </c>
      <c r="AB4" s="10">
        <f>Y4+AA4</f>
        <v>0</v>
      </c>
      <c r="AC4" s="9"/>
      <c r="AD4" s="12"/>
      <c r="AE4" s="9" t="s">
        <v>137</v>
      </c>
      <c r="AF4" s="9" t="s">
        <v>138</v>
      </c>
    </row>
    <row r="5" spans="1:32" ht="23" x14ac:dyDescent="0.35">
      <c r="A5" s="3" t="s">
        <v>143</v>
      </c>
      <c r="B5" s="3" t="s">
        <v>89</v>
      </c>
      <c r="C5" s="3" t="s">
        <v>91</v>
      </c>
      <c r="D5" s="3" t="s">
        <v>31</v>
      </c>
      <c r="E5" s="4" t="s">
        <v>96</v>
      </c>
      <c r="F5" s="4" t="s">
        <v>38</v>
      </c>
      <c r="G5" s="4" t="s">
        <v>39</v>
      </c>
      <c r="H5" s="4" t="s">
        <v>40</v>
      </c>
      <c r="I5" s="4"/>
      <c r="J5" s="4"/>
      <c r="K5" s="7" t="s">
        <v>130</v>
      </c>
      <c r="L5" s="3" t="s">
        <v>131</v>
      </c>
      <c r="M5" s="3" t="s">
        <v>144</v>
      </c>
      <c r="N5" s="3" t="s">
        <v>145</v>
      </c>
      <c r="O5" s="3" t="s">
        <v>41</v>
      </c>
      <c r="P5" s="3" t="s">
        <v>146</v>
      </c>
      <c r="Q5" s="3" t="s">
        <v>135</v>
      </c>
      <c r="R5" s="3">
        <v>150</v>
      </c>
      <c r="S5" s="3"/>
      <c r="T5" s="4">
        <v>3</v>
      </c>
      <c r="U5" s="4"/>
      <c r="V5" s="4"/>
      <c r="W5" s="3" t="s">
        <v>136</v>
      </c>
      <c r="X5" s="5">
        <v>625</v>
      </c>
      <c r="Y5" s="5"/>
      <c r="Z5" s="5">
        <v>0</v>
      </c>
      <c r="AA5" s="5">
        <f>Y5*0.07</f>
        <v>0</v>
      </c>
      <c r="AB5" s="5">
        <f>Y5+AA5</f>
        <v>0</v>
      </c>
      <c r="AC5" s="3"/>
      <c r="AD5" s="7"/>
      <c r="AE5" s="3" t="s">
        <v>137</v>
      </c>
      <c r="AF5" s="3" t="s">
        <v>138</v>
      </c>
    </row>
    <row r="6" spans="1:32" ht="23" x14ac:dyDescent="0.35">
      <c r="A6" s="9" t="s">
        <v>147</v>
      </c>
      <c r="B6" s="9" t="s">
        <v>48</v>
      </c>
      <c r="C6" s="9" t="s">
        <v>148</v>
      </c>
      <c r="D6" s="9" t="s">
        <v>50</v>
      </c>
      <c r="E6" s="4" t="s">
        <v>55</v>
      </c>
      <c r="F6" s="4" t="s">
        <v>56</v>
      </c>
      <c r="G6" s="4" t="s">
        <v>39</v>
      </c>
      <c r="H6" s="4" t="s">
        <v>57</v>
      </c>
      <c r="I6" s="4"/>
      <c r="J6" s="4"/>
      <c r="K6" s="12" t="s">
        <v>149</v>
      </c>
      <c r="L6" s="9" t="s">
        <v>150</v>
      </c>
      <c r="M6" s="9" t="s">
        <v>151</v>
      </c>
      <c r="N6" s="9" t="s">
        <v>140</v>
      </c>
      <c r="O6" s="9" t="s">
        <v>58</v>
      </c>
      <c r="P6" s="9" t="s">
        <v>152</v>
      </c>
      <c r="Q6" s="9" t="s">
        <v>153</v>
      </c>
      <c r="R6" s="9">
        <v>60</v>
      </c>
      <c r="S6" s="9"/>
      <c r="T6" s="4">
        <v>1</v>
      </c>
      <c r="U6" s="4"/>
      <c r="V6" s="4"/>
      <c r="W6" s="9" t="s">
        <v>136</v>
      </c>
      <c r="X6" s="10">
        <v>185</v>
      </c>
      <c r="Y6" s="10"/>
      <c r="Z6" s="10">
        <v>0</v>
      </c>
      <c r="AA6" s="10">
        <f>Y6*0.07</f>
        <v>0</v>
      </c>
      <c r="AB6" s="10">
        <f>Y6+AA6</f>
        <v>0</v>
      </c>
      <c r="AC6" s="9"/>
      <c r="AD6" s="12"/>
      <c r="AE6" s="9" t="s">
        <v>137</v>
      </c>
      <c r="AF6" s="9" t="s">
        <v>138</v>
      </c>
    </row>
    <row r="7" spans="1:32" ht="23" x14ac:dyDescent="0.35">
      <c r="A7" s="3" t="s">
        <v>154</v>
      </c>
      <c r="B7" s="3" t="s">
        <v>75</v>
      </c>
      <c r="C7" s="3" t="s">
        <v>155</v>
      </c>
      <c r="D7" s="3" t="s">
        <v>50</v>
      </c>
      <c r="E7" s="4" t="s">
        <v>81</v>
      </c>
      <c r="F7" s="4" t="s">
        <v>82</v>
      </c>
      <c r="G7" s="4" t="s">
        <v>39</v>
      </c>
      <c r="H7" s="4" t="s">
        <v>83</v>
      </c>
      <c r="I7" s="4"/>
      <c r="J7" s="4"/>
      <c r="K7" s="7" t="s">
        <v>149</v>
      </c>
      <c r="L7" s="3" t="s">
        <v>150</v>
      </c>
      <c r="M7" s="3" t="s">
        <v>156</v>
      </c>
      <c r="N7" s="3" t="s">
        <v>157</v>
      </c>
      <c r="O7" s="3" t="s">
        <v>84</v>
      </c>
      <c r="P7" s="3" t="s">
        <v>158</v>
      </c>
      <c r="Q7" s="3" t="s">
        <v>153</v>
      </c>
      <c r="R7" s="3">
        <v>75</v>
      </c>
      <c r="S7" s="3"/>
      <c r="T7" s="4">
        <v>2</v>
      </c>
      <c r="U7" s="4"/>
      <c r="V7" s="4"/>
      <c r="W7" s="3" t="s">
        <v>136</v>
      </c>
      <c r="X7" s="5">
        <v>160</v>
      </c>
      <c r="Y7" s="5"/>
      <c r="Z7" s="5">
        <v>0</v>
      </c>
      <c r="AA7" s="5">
        <f>Y7*0.07</f>
        <v>0</v>
      </c>
      <c r="AB7" s="5">
        <f>Y7+AA7</f>
        <v>0</v>
      </c>
      <c r="AC7" s="3"/>
      <c r="AD7" s="7"/>
      <c r="AE7" s="3" t="s">
        <v>137</v>
      </c>
      <c r="AF7" s="3" t="s">
        <v>138</v>
      </c>
    </row>
  </sheetData>
  <mergeCells count="1">
    <mergeCell ref="A1:AF1"/>
  </mergeCells>
  <conditionalFormatting sqref="W3:W500">
    <cfRule type="expression" dxfId="5" priority="2">
      <formula>W3="Completed"</formula>
    </cfRule>
  </conditionalFormatting>
  <conditionalFormatting sqref="AE3:AE500">
    <cfRule type="expression" dxfId="4" priority="3">
      <formula>AE3="Overdue"</formula>
    </cfRule>
  </conditionalFormatting>
  <dataValidations count="3">
    <dataValidation type="list" allowBlank="1" sqref="W3:W500" xr:uid="{00000000-0002-0000-0100-000000000000}">
      <formula1>"Quoted,Scheduled,In Progress,Completed,Invoiced,Paid,Cancelled"</formula1>
      <formula2>0</formula2>
    </dataValidation>
    <dataValidation type="list" allowBlank="1" sqref="O3:O500" xr:uid="{00000000-0002-0000-0100-000001000000}">
      <formula1>"Window,Pressure,Both"</formula1>
      <formula2>0</formula2>
    </dataValidation>
    <dataValidation type="list" allowBlank="1" sqref="AE3:AE500" xr:uid="{00000000-0002-0000-0100-000002000000}">
      <formula1>"Unpaid,Paid,Partial,Overdue,Voided"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6"/>
  </sheetPr>
  <dimension ref="A1:R8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R1"/>
    </sheetView>
  </sheetViews>
  <sheetFormatPr defaultColWidth="8.6328125" defaultRowHeight="14.5" x14ac:dyDescent="0.35"/>
  <cols>
    <col min="1" max="1" width="13" customWidth="1"/>
    <col min="2" max="2" width="14" customWidth="1"/>
    <col min="3" max="3" width="8" customWidth="1"/>
    <col min="4" max="4" width="12" customWidth="1"/>
    <col min="5" max="5" width="13" customWidth="1"/>
    <col min="6" max="7" width="22" customWidth="1"/>
    <col min="8" max="8" width="15" customWidth="1"/>
    <col min="9" max="9" width="7" customWidth="1"/>
    <col min="10" max="10" width="10" customWidth="1"/>
    <col min="11" max="14" width="12" customWidth="1"/>
    <col min="15" max="15" width="14" customWidth="1"/>
    <col min="16" max="16" width="13" customWidth="1"/>
    <col min="17" max="17" width="11" customWidth="1"/>
    <col min="18" max="18" width="30" customWidth="1"/>
  </cols>
  <sheetData>
    <row r="1" spans="1:18" ht="13.5" customHeight="1" x14ac:dyDescent="0.35">
      <c r="A1" s="24" t="s">
        <v>159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pans="1:18" ht="13.5" customHeight="1" x14ac:dyDescent="0.35">
      <c r="A2" s="25" t="s">
        <v>160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spans="1:18" ht="48" customHeight="1" x14ac:dyDescent="0.35">
      <c r="A3" s="14" t="s">
        <v>161</v>
      </c>
      <c r="B3" s="14" t="s">
        <v>113</v>
      </c>
      <c r="C3" s="1" t="s">
        <v>162</v>
      </c>
      <c r="D3" s="1" t="s">
        <v>163</v>
      </c>
      <c r="E3" s="1" t="s">
        <v>164</v>
      </c>
      <c r="F3" s="1" t="s">
        <v>104</v>
      </c>
      <c r="G3" s="2" t="s">
        <v>165</v>
      </c>
      <c r="H3" s="2" t="s">
        <v>166</v>
      </c>
      <c r="I3" s="2" t="s">
        <v>10</v>
      </c>
      <c r="J3" s="2" t="s">
        <v>167</v>
      </c>
      <c r="K3" s="2" t="s">
        <v>168</v>
      </c>
      <c r="L3" s="2" t="s">
        <v>169</v>
      </c>
      <c r="M3" s="15" t="s">
        <v>170</v>
      </c>
      <c r="N3" s="15" t="s">
        <v>171</v>
      </c>
      <c r="O3" s="15" t="s">
        <v>172</v>
      </c>
      <c r="P3" s="15" t="s">
        <v>111</v>
      </c>
      <c r="Q3" s="15" t="s">
        <v>173</v>
      </c>
      <c r="R3" s="2" t="s">
        <v>174</v>
      </c>
    </row>
    <row r="4" spans="1:18" ht="23" x14ac:dyDescent="0.35">
      <c r="A4" s="12" t="s">
        <v>130</v>
      </c>
      <c r="B4" s="9" t="s">
        <v>135</v>
      </c>
      <c r="C4" s="13">
        <v>1</v>
      </c>
      <c r="D4" s="9" t="s">
        <v>129</v>
      </c>
      <c r="E4" s="9" t="s">
        <v>29</v>
      </c>
      <c r="F4" s="9" t="s">
        <v>32</v>
      </c>
      <c r="G4" s="4" t="s">
        <v>37</v>
      </c>
      <c r="H4" s="4" t="s">
        <v>38</v>
      </c>
      <c r="I4" s="4" t="s">
        <v>39</v>
      </c>
      <c r="J4" s="4" t="s">
        <v>40</v>
      </c>
      <c r="K4" s="4"/>
      <c r="L4" s="4"/>
      <c r="M4" s="9" t="s">
        <v>132</v>
      </c>
      <c r="N4" s="9" t="s">
        <v>133</v>
      </c>
      <c r="O4" s="9" t="s">
        <v>138</v>
      </c>
      <c r="P4" s="9" t="s">
        <v>58</v>
      </c>
      <c r="Q4" s="9">
        <v>90</v>
      </c>
      <c r="R4" s="4"/>
    </row>
    <row r="5" spans="1:18" ht="23" x14ac:dyDescent="0.35">
      <c r="A5" s="7" t="s">
        <v>130</v>
      </c>
      <c r="B5" s="3" t="s">
        <v>135</v>
      </c>
      <c r="C5" s="8">
        <v>2</v>
      </c>
      <c r="D5" s="3" t="s">
        <v>139</v>
      </c>
      <c r="E5" s="3" t="s">
        <v>63</v>
      </c>
      <c r="F5" s="3" t="s">
        <v>65</v>
      </c>
      <c r="G5" s="4" t="s">
        <v>70</v>
      </c>
      <c r="H5" s="4" t="s">
        <v>38</v>
      </c>
      <c r="I5" s="4" t="s">
        <v>39</v>
      </c>
      <c r="J5" s="4" t="s">
        <v>40</v>
      </c>
      <c r="K5" s="4"/>
      <c r="L5" s="4"/>
      <c r="M5" s="3" t="s">
        <v>140</v>
      </c>
      <c r="N5" s="3" t="s">
        <v>141</v>
      </c>
      <c r="O5" s="3" t="s">
        <v>175</v>
      </c>
      <c r="P5" s="3" t="s">
        <v>58</v>
      </c>
      <c r="Q5" s="3">
        <v>45</v>
      </c>
      <c r="R5" s="4"/>
    </row>
    <row r="6" spans="1:18" ht="23" x14ac:dyDescent="0.35">
      <c r="A6" s="12" t="s">
        <v>130</v>
      </c>
      <c r="B6" s="9" t="s">
        <v>135</v>
      </c>
      <c r="C6" s="13">
        <v>3</v>
      </c>
      <c r="D6" s="9" t="s">
        <v>154</v>
      </c>
      <c r="E6" s="9" t="s">
        <v>89</v>
      </c>
      <c r="F6" s="9" t="s">
        <v>91</v>
      </c>
      <c r="G6" s="4" t="s">
        <v>96</v>
      </c>
      <c r="H6" s="4" t="s">
        <v>38</v>
      </c>
      <c r="I6" s="4" t="s">
        <v>39</v>
      </c>
      <c r="J6" s="4" t="s">
        <v>40</v>
      </c>
      <c r="K6" s="4"/>
      <c r="L6" s="4"/>
      <c r="M6" s="9" t="s">
        <v>144</v>
      </c>
      <c r="N6" s="9" t="s">
        <v>145</v>
      </c>
      <c r="O6" s="9" t="s">
        <v>176</v>
      </c>
      <c r="P6" s="9" t="s">
        <v>41</v>
      </c>
      <c r="Q6" s="9">
        <v>150</v>
      </c>
      <c r="R6" s="4"/>
    </row>
    <row r="7" spans="1:18" x14ac:dyDescent="0.35">
      <c r="A7" s="7" t="s">
        <v>149</v>
      </c>
      <c r="B7" s="3" t="s">
        <v>153</v>
      </c>
      <c r="C7" s="8">
        <v>1</v>
      </c>
      <c r="D7" s="3" t="s">
        <v>147</v>
      </c>
      <c r="E7" s="3" t="s">
        <v>48</v>
      </c>
      <c r="F7" s="3" t="s">
        <v>148</v>
      </c>
      <c r="G7" s="4" t="s">
        <v>55</v>
      </c>
      <c r="H7" s="4" t="s">
        <v>56</v>
      </c>
      <c r="I7" s="4" t="s">
        <v>39</v>
      </c>
      <c r="J7" s="4" t="s">
        <v>57</v>
      </c>
      <c r="K7" s="4"/>
      <c r="L7" s="4"/>
      <c r="M7" s="3" t="s">
        <v>151</v>
      </c>
      <c r="N7" s="3" t="s">
        <v>140</v>
      </c>
      <c r="O7" s="3" t="s">
        <v>138</v>
      </c>
      <c r="P7" s="3" t="s">
        <v>58</v>
      </c>
      <c r="Q7" s="3">
        <v>60</v>
      </c>
      <c r="R7" s="4"/>
    </row>
    <row r="8" spans="1:18" x14ac:dyDescent="0.35">
      <c r="A8" s="12" t="s">
        <v>149</v>
      </c>
      <c r="B8" s="9" t="s">
        <v>153</v>
      </c>
      <c r="C8" s="13">
        <v>2</v>
      </c>
      <c r="D8" s="9" t="s">
        <v>154</v>
      </c>
      <c r="E8" s="9" t="s">
        <v>75</v>
      </c>
      <c r="F8" s="9" t="s">
        <v>155</v>
      </c>
      <c r="G8" s="4" t="s">
        <v>81</v>
      </c>
      <c r="H8" s="4" t="s">
        <v>82</v>
      </c>
      <c r="I8" s="4" t="s">
        <v>39</v>
      </c>
      <c r="J8" s="4" t="s">
        <v>83</v>
      </c>
      <c r="K8" s="4"/>
      <c r="L8" s="4"/>
      <c r="M8" s="9" t="s">
        <v>156</v>
      </c>
      <c r="N8" s="9" t="s">
        <v>157</v>
      </c>
      <c r="O8" s="9" t="s">
        <v>177</v>
      </c>
      <c r="P8" s="9" t="s">
        <v>84</v>
      </c>
      <c r="Q8" s="9">
        <v>75</v>
      </c>
      <c r="R8" s="4"/>
    </row>
  </sheetData>
  <mergeCells count="2">
    <mergeCell ref="A1:R1"/>
    <mergeCell ref="A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S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S1"/>
    </sheetView>
  </sheetViews>
  <sheetFormatPr defaultColWidth="8.6328125" defaultRowHeight="14.5" x14ac:dyDescent="0.35"/>
  <cols>
    <col min="1" max="2" width="14" customWidth="1"/>
    <col min="3" max="3" width="22" customWidth="1"/>
    <col min="4" max="4" width="12" customWidth="1"/>
    <col min="5" max="5" width="22" customWidth="1"/>
    <col min="6" max="6" width="15" customWidth="1"/>
    <col min="7" max="8" width="13" customWidth="1"/>
    <col min="9" max="9" width="14" customWidth="1"/>
    <col min="10" max="10" width="28" customWidth="1"/>
    <col min="11" max="11" width="12" customWidth="1"/>
    <col min="12" max="15" width="13" customWidth="1"/>
    <col min="16" max="16" width="11" customWidth="1"/>
    <col min="17" max="17" width="12" customWidth="1"/>
    <col min="18" max="18" width="11" customWidth="1"/>
    <col min="19" max="19" width="14" customWidth="1"/>
  </cols>
  <sheetData>
    <row r="1" spans="1:19" ht="13.5" customHeight="1" x14ac:dyDescent="0.35">
      <c r="A1" s="24" t="s">
        <v>178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</row>
    <row r="2" spans="1:19" ht="48" customHeight="1" x14ac:dyDescent="0.35">
      <c r="A2" s="1" t="s">
        <v>179</v>
      </c>
      <c r="B2" s="1" t="s">
        <v>164</v>
      </c>
      <c r="C2" s="1" t="s">
        <v>104</v>
      </c>
      <c r="D2" s="1" t="s">
        <v>105</v>
      </c>
      <c r="E2" s="1" t="s">
        <v>180</v>
      </c>
      <c r="F2" s="1" t="s">
        <v>166</v>
      </c>
      <c r="G2" s="1" t="s">
        <v>181</v>
      </c>
      <c r="H2" s="1" t="s">
        <v>182</v>
      </c>
      <c r="I2" s="1" t="s">
        <v>111</v>
      </c>
      <c r="J2" s="1" t="s">
        <v>183</v>
      </c>
      <c r="K2" s="1" t="s">
        <v>184</v>
      </c>
      <c r="L2" s="1" t="s">
        <v>185</v>
      </c>
      <c r="M2" s="1" t="s">
        <v>186</v>
      </c>
      <c r="N2" s="1" t="s">
        <v>187</v>
      </c>
      <c r="O2" s="1" t="s">
        <v>188</v>
      </c>
      <c r="P2" s="1" t="s">
        <v>20</v>
      </c>
      <c r="Q2" s="1" t="s">
        <v>189</v>
      </c>
      <c r="R2" s="1" t="s">
        <v>190</v>
      </c>
      <c r="S2" s="2" t="s">
        <v>191</v>
      </c>
    </row>
    <row r="3" spans="1:19" ht="23" x14ac:dyDescent="0.35">
      <c r="A3" s="3" t="s">
        <v>192</v>
      </c>
      <c r="B3" s="3" t="s">
        <v>29</v>
      </c>
      <c r="C3" s="3" t="s">
        <v>32</v>
      </c>
      <c r="D3" s="3" t="s">
        <v>31</v>
      </c>
      <c r="E3" s="3" t="s">
        <v>37</v>
      </c>
      <c r="F3" s="3" t="s">
        <v>38</v>
      </c>
      <c r="G3" s="7" t="s">
        <v>193</v>
      </c>
      <c r="H3" s="7" t="s">
        <v>194</v>
      </c>
      <c r="I3" s="3" t="s">
        <v>58</v>
      </c>
      <c r="J3" s="3" t="s">
        <v>195</v>
      </c>
      <c r="K3" s="3">
        <v>12</v>
      </c>
      <c r="L3" s="5">
        <v>25</v>
      </c>
      <c r="M3" s="5">
        <v>200</v>
      </c>
      <c r="N3" s="5">
        <v>0</v>
      </c>
      <c r="O3" s="5">
        <f>K3*L3+M3+N3</f>
        <v>500</v>
      </c>
      <c r="P3" s="6">
        <v>0.1</v>
      </c>
      <c r="Q3" s="5">
        <f>O3*P3</f>
        <v>50</v>
      </c>
      <c r="R3" s="5">
        <f>(O3-Q3)*0.07</f>
        <v>31.500000000000004</v>
      </c>
      <c r="S3" s="16">
        <f>O3-Q3+R3</f>
        <v>481.5</v>
      </c>
    </row>
    <row r="4" spans="1:19" x14ac:dyDescent="0.35">
      <c r="A4" s="9" t="s">
        <v>196</v>
      </c>
      <c r="B4" s="9" t="s">
        <v>48</v>
      </c>
      <c r="C4" s="9" t="s">
        <v>148</v>
      </c>
      <c r="D4" s="9" t="s">
        <v>50</v>
      </c>
      <c r="E4" s="9" t="s">
        <v>55</v>
      </c>
      <c r="F4" s="9" t="s">
        <v>56</v>
      </c>
      <c r="G4" s="12" t="s">
        <v>197</v>
      </c>
      <c r="H4" s="12" t="s">
        <v>198</v>
      </c>
      <c r="I4" s="9" t="s">
        <v>58</v>
      </c>
      <c r="J4" s="9" t="s">
        <v>199</v>
      </c>
      <c r="K4" s="9">
        <v>14</v>
      </c>
      <c r="L4" s="10">
        <v>12</v>
      </c>
      <c r="M4" s="10">
        <v>100</v>
      </c>
      <c r="N4" s="10">
        <v>0</v>
      </c>
      <c r="O4" s="10">
        <f>K4*L4+M4+N4</f>
        <v>268</v>
      </c>
      <c r="P4" s="11">
        <v>0</v>
      </c>
      <c r="Q4" s="10">
        <f>O4*P4</f>
        <v>0</v>
      </c>
      <c r="R4" s="10">
        <f>(O4-Q4)*0.07</f>
        <v>18.760000000000002</v>
      </c>
      <c r="S4" s="16">
        <f>O4-Q4+R4</f>
        <v>286.76</v>
      </c>
    </row>
    <row r="5" spans="1:19" ht="23" x14ac:dyDescent="0.35">
      <c r="A5" s="3" t="s">
        <v>200</v>
      </c>
      <c r="B5" s="3" t="s">
        <v>201</v>
      </c>
      <c r="C5" s="3" t="s">
        <v>202</v>
      </c>
      <c r="D5" s="3" t="s">
        <v>31</v>
      </c>
      <c r="E5" s="3" t="s">
        <v>203</v>
      </c>
      <c r="F5" s="3" t="s">
        <v>38</v>
      </c>
      <c r="G5" s="7" t="s">
        <v>204</v>
      </c>
      <c r="H5" s="7" t="s">
        <v>205</v>
      </c>
      <c r="I5" s="3" t="s">
        <v>41</v>
      </c>
      <c r="J5" s="3" t="s">
        <v>206</v>
      </c>
      <c r="K5" s="3">
        <v>1</v>
      </c>
      <c r="L5" s="5">
        <v>800</v>
      </c>
      <c r="M5" s="5">
        <v>350</v>
      </c>
      <c r="N5" s="5">
        <v>75</v>
      </c>
      <c r="O5" s="5">
        <f>K5*L5+M5+N5</f>
        <v>1225</v>
      </c>
      <c r="P5" s="6">
        <v>0.1</v>
      </c>
      <c r="Q5" s="5">
        <f>O5*P5</f>
        <v>122.5</v>
      </c>
      <c r="R5" s="5">
        <f>(O5-Q5)*0.07</f>
        <v>77.175000000000011</v>
      </c>
      <c r="S5" s="16">
        <f>O5-Q5+R5</f>
        <v>1179.675</v>
      </c>
    </row>
  </sheetData>
  <mergeCells count="1">
    <mergeCell ref="A1:S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U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defaultColWidth="8.6328125" defaultRowHeight="14.5" x14ac:dyDescent="0.35"/>
  <cols>
    <col min="1" max="2" width="14" customWidth="1"/>
    <col min="3" max="4" width="13" customWidth="1"/>
    <col min="5" max="5" width="22" customWidth="1"/>
    <col min="6" max="6" width="12" customWidth="1"/>
    <col min="7" max="10" width="13" customWidth="1"/>
    <col min="11" max="11" width="28" customWidth="1"/>
    <col min="12" max="12" width="13" customWidth="1"/>
    <col min="13" max="14" width="12" customWidth="1"/>
    <col min="15" max="15" width="11" customWidth="1"/>
    <col min="16" max="16" width="14" customWidth="1"/>
    <col min="17" max="20" width="13" customWidth="1"/>
    <col min="21" max="21" width="14" customWidth="1"/>
  </cols>
  <sheetData>
    <row r="1" spans="1:21" ht="13.5" customHeight="1" x14ac:dyDescent="0.35">
      <c r="A1" s="24" t="s">
        <v>207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48" customHeight="1" x14ac:dyDescent="0.35">
      <c r="A2" s="1" t="s">
        <v>125</v>
      </c>
      <c r="B2" s="1" t="s">
        <v>208</v>
      </c>
      <c r="C2" s="1" t="s">
        <v>102</v>
      </c>
      <c r="D2" s="1" t="s">
        <v>164</v>
      </c>
      <c r="E2" s="1" t="s">
        <v>104</v>
      </c>
      <c r="F2" s="1" t="s">
        <v>105</v>
      </c>
      <c r="G2" s="1" t="s">
        <v>209</v>
      </c>
      <c r="H2" s="1" t="s">
        <v>210</v>
      </c>
      <c r="I2" s="1" t="s">
        <v>107</v>
      </c>
      <c r="J2" s="1" t="s">
        <v>111</v>
      </c>
      <c r="K2" s="1" t="s">
        <v>211</v>
      </c>
      <c r="L2" s="1" t="s">
        <v>188</v>
      </c>
      <c r="M2" s="1" t="s">
        <v>212</v>
      </c>
      <c r="N2" s="1" t="s">
        <v>213</v>
      </c>
      <c r="O2" s="1" t="s">
        <v>214</v>
      </c>
      <c r="P2" s="2" t="s">
        <v>215</v>
      </c>
      <c r="Q2" s="1" t="s">
        <v>216</v>
      </c>
      <c r="R2" s="2" t="s">
        <v>217</v>
      </c>
      <c r="S2" s="1" t="s">
        <v>127</v>
      </c>
      <c r="T2" s="1" t="s">
        <v>218</v>
      </c>
      <c r="U2" s="1" t="s">
        <v>219</v>
      </c>
    </row>
    <row r="3" spans="1:21" ht="23" x14ac:dyDescent="0.35">
      <c r="A3" s="3" t="s">
        <v>220</v>
      </c>
      <c r="B3" s="3"/>
      <c r="C3" s="3" t="s">
        <v>129</v>
      </c>
      <c r="D3" s="3" t="s">
        <v>29</v>
      </c>
      <c r="E3" s="3" t="s">
        <v>32</v>
      </c>
      <c r="F3" s="3" t="s">
        <v>31</v>
      </c>
      <c r="G3" s="7" t="s">
        <v>130</v>
      </c>
      <c r="H3" s="7" t="s">
        <v>221</v>
      </c>
      <c r="I3" s="7" t="s">
        <v>130</v>
      </c>
      <c r="J3" s="3" t="s">
        <v>58</v>
      </c>
      <c r="K3" s="3" t="s">
        <v>222</v>
      </c>
      <c r="L3" s="5">
        <v>350</v>
      </c>
      <c r="M3" s="5">
        <v>35</v>
      </c>
      <c r="N3" s="5">
        <f>L3-M3</f>
        <v>315</v>
      </c>
      <c r="O3" s="5">
        <f>N3*0.07</f>
        <v>22.05</v>
      </c>
      <c r="P3" s="16">
        <f>N3+O3</f>
        <v>337.05</v>
      </c>
      <c r="Q3" s="5">
        <v>0</v>
      </c>
      <c r="R3" s="16">
        <f>P3-Q3</f>
        <v>337.05</v>
      </c>
      <c r="S3" s="3" t="s">
        <v>137</v>
      </c>
      <c r="T3" s="7"/>
      <c r="U3" s="3"/>
    </row>
    <row r="4" spans="1:21" x14ac:dyDescent="0.35">
      <c r="A4" s="9" t="s">
        <v>223</v>
      </c>
      <c r="B4" s="9"/>
      <c r="C4" s="9" t="s">
        <v>139</v>
      </c>
      <c r="D4" s="9" t="s">
        <v>63</v>
      </c>
      <c r="E4" s="9" t="s">
        <v>65</v>
      </c>
      <c r="F4" s="9" t="s">
        <v>31</v>
      </c>
      <c r="G4" s="12" t="s">
        <v>130</v>
      </c>
      <c r="H4" s="12" t="s">
        <v>221</v>
      </c>
      <c r="I4" s="12" t="s">
        <v>130</v>
      </c>
      <c r="J4" s="9" t="s">
        <v>58</v>
      </c>
      <c r="K4" s="9" t="s">
        <v>224</v>
      </c>
      <c r="L4" s="10">
        <v>220</v>
      </c>
      <c r="M4" s="10">
        <v>11</v>
      </c>
      <c r="N4" s="10">
        <f>L4-M4</f>
        <v>209</v>
      </c>
      <c r="O4" s="10">
        <f>N4*0.07</f>
        <v>14.63</v>
      </c>
      <c r="P4" s="16">
        <f>N4+O4</f>
        <v>223.63</v>
      </c>
      <c r="Q4" s="10">
        <v>0</v>
      </c>
      <c r="R4" s="16">
        <f>P4-Q4</f>
        <v>223.63</v>
      </c>
      <c r="S4" s="9" t="s">
        <v>137</v>
      </c>
      <c r="T4" s="12"/>
      <c r="U4" s="9"/>
    </row>
    <row r="5" spans="1:21" ht="23" x14ac:dyDescent="0.35">
      <c r="A5" s="3" t="s">
        <v>225</v>
      </c>
      <c r="B5" s="3"/>
      <c r="C5" s="3" t="s">
        <v>143</v>
      </c>
      <c r="D5" s="3" t="s">
        <v>89</v>
      </c>
      <c r="E5" s="3" t="s">
        <v>91</v>
      </c>
      <c r="F5" s="3" t="s">
        <v>31</v>
      </c>
      <c r="G5" s="7" t="s">
        <v>130</v>
      </c>
      <c r="H5" s="7" t="s">
        <v>221</v>
      </c>
      <c r="I5" s="7" t="s">
        <v>130</v>
      </c>
      <c r="J5" s="3" t="s">
        <v>41</v>
      </c>
      <c r="K5" s="3" t="s">
        <v>226</v>
      </c>
      <c r="L5" s="5">
        <v>625</v>
      </c>
      <c r="M5" s="5">
        <v>93.75</v>
      </c>
      <c r="N5" s="5">
        <f>L5-M5</f>
        <v>531.25</v>
      </c>
      <c r="O5" s="5">
        <f>N5*0.07</f>
        <v>37.1875</v>
      </c>
      <c r="P5" s="16">
        <f>N5+O5</f>
        <v>568.4375</v>
      </c>
      <c r="Q5" s="5">
        <v>0</v>
      </c>
      <c r="R5" s="16">
        <f>P5-Q5</f>
        <v>568.4375</v>
      </c>
      <c r="S5" s="3" t="s">
        <v>137</v>
      </c>
      <c r="T5" s="7"/>
      <c r="U5" s="3"/>
    </row>
  </sheetData>
  <mergeCells count="1">
    <mergeCell ref="A1:U1"/>
  </mergeCells>
  <conditionalFormatting sqref="S3:S500">
    <cfRule type="expression" dxfId="3" priority="2">
      <formula>S3="Overdue"</formula>
    </cfRule>
    <cfRule type="expression" dxfId="2" priority="3">
      <formula>S3="Paid"</formula>
    </cfRule>
  </conditionalFormatting>
  <dataValidations count="2">
    <dataValidation type="list" allowBlank="1" sqref="S3:S500" xr:uid="{00000000-0002-0000-0400-000000000000}">
      <formula1>"Unpaid,Paid,Partial,Overdue,Voided"</formula1>
      <formula2>0</formula2>
    </dataValidation>
    <dataValidation type="list" allowBlank="1" sqref="U3:U500" xr:uid="{00000000-0002-0000-0400-000001000000}">
      <formula1>"Cash,Check,Credit Card,Venmo,Zelle,ACH,Other"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P1"/>
    </sheetView>
  </sheetViews>
  <sheetFormatPr defaultColWidth="8.6328125" defaultRowHeight="14.5" x14ac:dyDescent="0.35"/>
  <cols>
    <col min="1" max="3" width="13" customWidth="1"/>
    <col min="4" max="4" width="16" customWidth="1"/>
    <col min="5" max="5" width="14" customWidth="1"/>
    <col min="6" max="6" width="22" customWidth="1"/>
    <col min="7" max="9" width="13" customWidth="1"/>
    <col min="10" max="10" width="28" customWidth="1"/>
    <col min="11" max="11" width="13" customWidth="1"/>
    <col min="12" max="12" width="12" customWidth="1"/>
    <col min="13" max="13" width="11" customWidth="1"/>
    <col min="14" max="14" width="14" customWidth="1"/>
    <col min="15" max="15" width="13" customWidth="1"/>
    <col min="16" max="16" width="22" customWidth="1"/>
  </cols>
  <sheetData>
    <row r="1" spans="1:16" ht="13.5" customHeight="1" x14ac:dyDescent="0.35">
      <c r="A1" s="24" t="s">
        <v>227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ht="13.5" customHeight="1" x14ac:dyDescent="0.35">
      <c r="A2" s="25" t="s">
        <v>228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ht="48" customHeight="1" x14ac:dyDescent="0.35">
      <c r="A3" s="14" t="s">
        <v>229</v>
      </c>
      <c r="B3" s="2" t="s">
        <v>230</v>
      </c>
      <c r="C3" s="1" t="s">
        <v>231</v>
      </c>
      <c r="D3" s="2" t="s">
        <v>232</v>
      </c>
      <c r="E3" s="1" t="s">
        <v>233</v>
      </c>
      <c r="F3" s="1" t="s">
        <v>234</v>
      </c>
      <c r="G3" s="1" t="s">
        <v>209</v>
      </c>
      <c r="H3" s="1" t="s">
        <v>235</v>
      </c>
      <c r="I3" s="1" t="s">
        <v>107</v>
      </c>
      <c r="J3" s="1" t="s">
        <v>183</v>
      </c>
      <c r="K3" s="1" t="s">
        <v>188</v>
      </c>
      <c r="L3" s="1" t="s">
        <v>212</v>
      </c>
      <c r="M3" s="1" t="s">
        <v>236</v>
      </c>
      <c r="N3" s="2" t="s">
        <v>237</v>
      </c>
      <c r="O3" s="1" t="s">
        <v>127</v>
      </c>
      <c r="P3" s="1" t="s">
        <v>238</v>
      </c>
    </row>
    <row r="4" spans="1:16" x14ac:dyDescent="0.35">
      <c r="A4" s="12" t="s">
        <v>130</v>
      </c>
      <c r="B4" s="4" t="s">
        <v>239</v>
      </c>
      <c r="C4" s="9" t="s">
        <v>220</v>
      </c>
      <c r="D4" s="4"/>
      <c r="E4" s="9" t="s">
        <v>30</v>
      </c>
      <c r="F4" s="9" t="s">
        <v>32</v>
      </c>
      <c r="G4" s="12" t="s">
        <v>130</v>
      </c>
      <c r="H4" s="12" t="s">
        <v>221</v>
      </c>
      <c r="I4" s="12" t="s">
        <v>130</v>
      </c>
      <c r="J4" s="9" t="s">
        <v>240</v>
      </c>
      <c r="K4" s="10">
        <v>350</v>
      </c>
      <c r="L4" s="10">
        <v>35</v>
      </c>
      <c r="M4" s="10">
        <f>K4*0.07</f>
        <v>24.500000000000004</v>
      </c>
      <c r="N4" s="16">
        <f>K4-L4+M4</f>
        <v>339.5</v>
      </c>
      <c r="O4" s="9" t="s">
        <v>137</v>
      </c>
      <c r="P4" s="9" t="s">
        <v>241</v>
      </c>
    </row>
    <row r="5" spans="1:16" x14ac:dyDescent="0.35">
      <c r="A5" s="7" t="s">
        <v>130</v>
      </c>
      <c r="B5" s="4" t="s">
        <v>239</v>
      </c>
      <c r="C5" s="3" t="s">
        <v>223</v>
      </c>
      <c r="D5" s="4"/>
      <c r="E5" s="3" t="s">
        <v>64</v>
      </c>
      <c r="F5" s="3" t="s">
        <v>65</v>
      </c>
      <c r="G5" s="7" t="s">
        <v>130</v>
      </c>
      <c r="H5" s="7" t="s">
        <v>221</v>
      </c>
      <c r="I5" s="7" t="s">
        <v>130</v>
      </c>
      <c r="J5" s="3" t="s">
        <v>242</v>
      </c>
      <c r="K5" s="5">
        <v>220</v>
      </c>
      <c r="L5" s="5">
        <v>11</v>
      </c>
      <c r="M5" s="5">
        <f>K5*0.07</f>
        <v>15.400000000000002</v>
      </c>
      <c r="N5" s="16">
        <f>K5-L5+M5</f>
        <v>224.4</v>
      </c>
      <c r="O5" s="3" t="s">
        <v>137</v>
      </c>
      <c r="P5" s="3" t="s">
        <v>241</v>
      </c>
    </row>
    <row r="6" spans="1:16" ht="23" x14ac:dyDescent="0.35">
      <c r="A6" s="12" t="s">
        <v>130</v>
      </c>
      <c r="B6" s="4" t="s">
        <v>239</v>
      </c>
      <c r="C6" s="9" t="s">
        <v>225</v>
      </c>
      <c r="D6" s="4"/>
      <c r="E6" s="9" t="s">
        <v>90</v>
      </c>
      <c r="F6" s="9" t="s">
        <v>91</v>
      </c>
      <c r="G6" s="12" t="s">
        <v>130</v>
      </c>
      <c r="H6" s="12" t="s">
        <v>221</v>
      </c>
      <c r="I6" s="12" t="s">
        <v>130</v>
      </c>
      <c r="J6" s="9" t="s">
        <v>243</v>
      </c>
      <c r="K6" s="10">
        <v>625</v>
      </c>
      <c r="L6" s="10">
        <v>93.75</v>
      </c>
      <c r="M6" s="10">
        <f>K6*0.07</f>
        <v>43.750000000000007</v>
      </c>
      <c r="N6" s="16">
        <f>K6-L6+M6</f>
        <v>575</v>
      </c>
      <c r="O6" s="9" t="s">
        <v>137</v>
      </c>
      <c r="P6" s="9" t="s">
        <v>241</v>
      </c>
    </row>
  </sheetData>
  <mergeCells count="2">
    <mergeCell ref="A1:P1"/>
    <mergeCell ref="A2:P2"/>
  </mergeCells>
  <conditionalFormatting sqref="B4:B500">
    <cfRule type="expression" dxfId="1" priority="2">
      <formula>B4="Synced"</formula>
    </cfRule>
    <cfRule type="expression" dxfId="0" priority="3">
      <formula>B4="Error"</formula>
    </cfRule>
  </conditionalFormatting>
  <dataValidations count="1">
    <dataValidation type="list" allowBlank="1" sqref="B4:B500" xr:uid="{00000000-0002-0000-0500-000000000000}">
      <formula1>"Pending Sync,Synced,Error,Manually Entered"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I14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I1"/>
    </sheetView>
  </sheetViews>
  <sheetFormatPr defaultColWidth="8.6328125" defaultRowHeight="14.5" x14ac:dyDescent="0.35"/>
  <cols>
    <col min="1" max="1" width="13" customWidth="1"/>
    <col min="2" max="2" width="16" customWidth="1"/>
    <col min="3" max="3" width="30" customWidth="1"/>
    <col min="4" max="4" width="14" customWidth="1"/>
    <col min="5" max="5" width="16" customWidth="1"/>
    <col min="6" max="7" width="13" customWidth="1"/>
    <col min="8" max="8" width="14" customWidth="1"/>
    <col min="9" max="9" width="28" customWidth="1"/>
  </cols>
  <sheetData>
    <row r="1" spans="1:9" ht="13.5" customHeight="1" x14ac:dyDescent="0.35">
      <c r="A1" s="24" t="s">
        <v>244</v>
      </c>
      <c r="B1" s="24"/>
      <c r="C1" s="24"/>
      <c r="D1" s="24"/>
      <c r="E1" s="24"/>
      <c r="F1" s="24"/>
      <c r="G1" s="24"/>
      <c r="H1" s="24"/>
      <c r="I1" s="24"/>
    </row>
    <row r="2" spans="1:9" ht="42" customHeight="1" x14ac:dyDescent="0.35">
      <c r="A2" s="14" t="s">
        <v>245</v>
      </c>
      <c r="B2" s="14" t="s">
        <v>246</v>
      </c>
      <c r="C2" s="14" t="s">
        <v>247</v>
      </c>
      <c r="D2" s="14" t="s">
        <v>248</v>
      </c>
      <c r="E2" s="14" t="s">
        <v>249</v>
      </c>
      <c r="F2" s="14" t="s">
        <v>250</v>
      </c>
      <c r="G2" s="14" t="s">
        <v>251</v>
      </c>
      <c r="H2" s="14" t="s">
        <v>252</v>
      </c>
      <c r="I2" s="14" t="s">
        <v>253</v>
      </c>
    </row>
    <row r="3" spans="1:9" x14ac:dyDescent="0.35">
      <c r="A3" s="3" t="s">
        <v>254</v>
      </c>
      <c r="B3" s="3" t="s">
        <v>255</v>
      </c>
      <c r="C3" s="3" t="s">
        <v>256</v>
      </c>
      <c r="D3" s="5">
        <v>12</v>
      </c>
      <c r="E3" s="3" t="s">
        <v>257</v>
      </c>
      <c r="F3" s="5">
        <v>75</v>
      </c>
      <c r="G3" s="17">
        <v>1</v>
      </c>
      <c r="H3" s="3" t="s">
        <v>258</v>
      </c>
      <c r="I3" s="3" t="s">
        <v>259</v>
      </c>
    </row>
    <row r="4" spans="1:9" x14ac:dyDescent="0.35">
      <c r="A4" s="9" t="s">
        <v>260</v>
      </c>
      <c r="B4" s="9" t="s">
        <v>255</v>
      </c>
      <c r="C4" s="9" t="s">
        <v>261</v>
      </c>
      <c r="D4" s="10">
        <v>45</v>
      </c>
      <c r="E4" s="9" t="s">
        <v>262</v>
      </c>
      <c r="F4" s="10">
        <v>100</v>
      </c>
      <c r="G4" s="18">
        <v>1.2</v>
      </c>
      <c r="H4" s="9" t="s">
        <v>258</v>
      </c>
      <c r="I4" s="9" t="s">
        <v>263</v>
      </c>
    </row>
    <row r="5" spans="1:9" x14ac:dyDescent="0.35">
      <c r="A5" s="3" t="s">
        <v>264</v>
      </c>
      <c r="B5" s="3" t="s">
        <v>255</v>
      </c>
      <c r="C5" s="3" t="s">
        <v>265</v>
      </c>
      <c r="D5" s="5">
        <v>5</v>
      </c>
      <c r="E5" s="3" t="s">
        <v>257</v>
      </c>
      <c r="F5" s="5">
        <v>0</v>
      </c>
      <c r="G5" s="17"/>
      <c r="H5" s="3" t="s">
        <v>258</v>
      </c>
      <c r="I5" s="3" t="s">
        <v>266</v>
      </c>
    </row>
    <row r="6" spans="1:9" x14ac:dyDescent="0.35">
      <c r="A6" s="9" t="s">
        <v>267</v>
      </c>
      <c r="B6" s="9" t="s">
        <v>255</v>
      </c>
      <c r="C6" s="9" t="s">
        <v>268</v>
      </c>
      <c r="D6" s="10">
        <v>3</v>
      </c>
      <c r="E6" s="9" t="s">
        <v>269</v>
      </c>
      <c r="F6" s="10">
        <v>0</v>
      </c>
      <c r="G6" s="18"/>
      <c r="H6" s="9" t="s">
        <v>258</v>
      </c>
      <c r="I6" s="9" t="s">
        <v>270</v>
      </c>
    </row>
    <row r="7" spans="1:9" x14ac:dyDescent="0.35">
      <c r="A7" s="3" t="s">
        <v>271</v>
      </c>
      <c r="B7" s="3" t="s">
        <v>255</v>
      </c>
      <c r="C7" s="3" t="s">
        <v>272</v>
      </c>
      <c r="D7" s="5">
        <v>18</v>
      </c>
      <c r="E7" s="3" t="s">
        <v>257</v>
      </c>
      <c r="F7" s="5">
        <v>90</v>
      </c>
      <c r="G7" s="17">
        <v>1.1499999999999999</v>
      </c>
      <c r="H7" s="3" t="s">
        <v>258</v>
      </c>
      <c r="I7" s="3" t="s">
        <v>273</v>
      </c>
    </row>
    <row r="8" spans="1:9" x14ac:dyDescent="0.35">
      <c r="A8" s="9" t="s">
        <v>274</v>
      </c>
      <c r="B8" s="9" t="s">
        <v>275</v>
      </c>
      <c r="C8" s="9" t="s">
        <v>276</v>
      </c>
      <c r="D8" s="10">
        <v>0.15</v>
      </c>
      <c r="E8" s="9" t="s">
        <v>277</v>
      </c>
      <c r="F8" s="10">
        <v>100</v>
      </c>
      <c r="G8" s="18">
        <v>1.1000000000000001</v>
      </c>
      <c r="H8" s="9" t="s">
        <v>258</v>
      </c>
      <c r="I8" s="9" t="s">
        <v>278</v>
      </c>
    </row>
    <row r="9" spans="1:9" x14ac:dyDescent="0.35">
      <c r="A9" s="3" t="s">
        <v>279</v>
      </c>
      <c r="B9" s="3" t="s">
        <v>275</v>
      </c>
      <c r="C9" s="3" t="s">
        <v>280</v>
      </c>
      <c r="D9" s="5">
        <v>0.2</v>
      </c>
      <c r="E9" s="3" t="s">
        <v>277</v>
      </c>
      <c r="F9" s="5">
        <v>150</v>
      </c>
      <c r="G9" s="17">
        <v>1.1499999999999999</v>
      </c>
      <c r="H9" s="3" t="s">
        <v>258</v>
      </c>
      <c r="I9" s="3" t="s">
        <v>281</v>
      </c>
    </row>
    <row r="10" spans="1:9" x14ac:dyDescent="0.35">
      <c r="A10" s="9" t="s">
        <v>282</v>
      </c>
      <c r="B10" s="9" t="s">
        <v>275</v>
      </c>
      <c r="C10" s="9" t="s">
        <v>283</v>
      </c>
      <c r="D10" s="10">
        <v>0.25</v>
      </c>
      <c r="E10" s="9" t="s">
        <v>277</v>
      </c>
      <c r="F10" s="10">
        <v>125</v>
      </c>
      <c r="G10" s="18">
        <v>1.1000000000000001</v>
      </c>
      <c r="H10" s="9" t="s">
        <v>258</v>
      </c>
      <c r="I10" s="9" t="s">
        <v>284</v>
      </c>
    </row>
    <row r="11" spans="1:9" x14ac:dyDescent="0.35">
      <c r="A11" s="3" t="s">
        <v>285</v>
      </c>
      <c r="B11" s="3" t="s">
        <v>275</v>
      </c>
      <c r="C11" s="3" t="s">
        <v>286</v>
      </c>
      <c r="D11" s="5">
        <v>0.18</v>
      </c>
      <c r="E11" s="3" t="s">
        <v>287</v>
      </c>
      <c r="F11" s="5">
        <v>75</v>
      </c>
      <c r="G11" s="17">
        <v>1.1000000000000001</v>
      </c>
      <c r="H11" s="3" t="s">
        <v>258</v>
      </c>
      <c r="I11" s="3" t="s">
        <v>273</v>
      </c>
    </row>
    <row r="12" spans="1:9" x14ac:dyDescent="0.35">
      <c r="A12" s="9" t="s">
        <v>288</v>
      </c>
      <c r="B12" s="9" t="s">
        <v>275</v>
      </c>
      <c r="C12" s="9" t="s">
        <v>289</v>
      </c>
      <c r="D12" s="10">
        <v>0.3</v>
      </c>
      <c r="E12" s="9" t="s">
        <v>277</v>
      </c>
      <c r="F12" s="10">
        <v>200</v>
      </c>
      <c r="G12" s="18">
        <v>1.25</v>
      </c>
      <c r="H12" s="9" t="s">
        <v>258</v>
      </c>
      <c r="I12" s="9" t="s">
        <v>290</v>
      </c>
    </row>
    <row r="13" spans="1:9" x14ac:dyDescent="0.35">
      <c r="A13" s="3" t="s">
        <v>291</v>
      </c>
      <c r="B13" s="3" t="s">
        <v>292</v>
      </c>
      <c r="C13" s="3" t="s">
        <v>293</v>
      </c>
      <c r="D13" s="5"/>
      <c r="E13" s="3" t="s">
        <v>294</v>
      </c>
      <c r="F13" s="5">
        <v>200</v>
      </c>
      <c r="G13" s="17">
        <v>1</v>
      </c>
      <c r="H13" s="3" t="s">
        <v>258</v>
      </c>
      <c r="I13" s="3" t="s">
        <v>295</v>
      </c>
    </row>
    <row r="14" spans="1:9" x14ac:dyDescent="0.35">
      <c r="A14" s="9" t="s">
        <v>296</v>
      </c>
      <c r="B14" s="9" t="s">
        <v>292</v>
      </c>
      <c r="C14" s="9" t="s">
        <v>297</v>
      </c>
      <c r="D14" s="10"/>
      <c r="E14" s="9" t="s">
        <v>298</v>
      </c>
      <c r="F14" s="10">
        <v>300</v>
      </c>
      <c r="G14" s="18">
        <v>1</v>
      </c>
      <c r="H14" s="9" t="s">
        <v>258</v>
      </c>
      <c r="I14" s="9" t="s">
        <v>299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966"/>
  </sheetPr>
  <dimension ref="A1:D25"/>
  <sheetViews>
    <sheetView topLeftCell="A5" zoomScaleNormal="100" workbookViewId="0">
      <selection sqref="A1:D1"/>
    </sheetView>
  </sheetViews>
  <sheetFormatPr defaultColWidth="8.6328125" defaultRowHeight="14.5" x14ac:dyDescent="0.35"/>
  <cols>
    <col min="1" max="1" width="30" customWidth="1"/>
    <col min="2" max="2" width="60" customWidth="1"/>
    <col min="3" max="3" width="28" customWidth="1"/>
    <col min="4" max="4" width="45" customWidth="1"/>
  </cols>
  <sheetData>
    <row r="1" spans="1:4" ht="18" customHeight="1" x14ac:dyDescent="0.35">
      <c r="A1" s="26" t="s">
        <v>300</v>
      </c>
      <c r="B1" s="26"/>
      <c r="C1" s="26"/>
      <c r="D1" s="26"/>
    </row>
    <row r="2" spans="1:4" ht="18" customHeight="1" x14ac:dyDescent="0.35">
      <c r="A2" s="27" t="s">
        <v>301</v>
      </c>
      <c r="B2" s="27"/>
      <c r="C2" s="27"/>
      <c r="D2" s="27"/>
    </row>
    <row r="3" spans="1:4" ht="18" customHeight="1" x14ac:dyDescent="0.35">
      <c r="A3" s="19" t="s">
        <v>302</v>
      </c>
      <c r="B3" s="19" t="s">
        <v>303</v>
      </c>
      <c r="C3" s="19" t="s">
        <v>304</v>
      </c>
      <c r="D3" s="19" t="s">
        <v>305</v>
      </c>
    </row>
    <row r="4" spans="1:4" ht="18" customHeight="1" x14ac:dyDescent="0.35">
      <c r="A4" s="20" t="s">
        <v>306</v>
      </c>
      <c r="B4" s="20" t="s">
        <v>307</v>
      </c>
      <c r="C4" s="21" t="s">
        <v>308</v>
      </c>
      <c r="D4" s="20" t="s">
        <v>309</v>
      </c>
    </row>
    <row r="5" spans="1:4" ht="18" customHeight="1" x14ac:dyDescent="0.35">
      <c r="A5" s="22" t="s">
        <v>310</v>
      </c>
      <c r="B5" s="22" t="s">
        <v>311</v>
      </c>
      <c r="C5" s="21" t="s">
        <v>312</v>
      </c>
      <c r="D5" s="22" t="s">
        <v>313</v>
      </c>
    </row>
    <row r="6" spans="1:4" ht="18" customHeight="1" x14ac:dyDescent="0.35">
      <c r="A6" s="20" t="s">
        <v>314</v>
      </c>
      <c r="B6" s="20" t="s">
        <v>315</v>
      </c>
      <c r="C6" s="21" t="s">
        <v>316</v>
      </c>
      <c r="D6" s="20" t="s">
        <v>317</v>
      </c>
    </row>
    <row r="7" spans="1:4" ht="18" customHeight="1" x14ac:dyDescent="0.35"/>
    <row r="8" spans="1:4" ht="18" customHeight="1" x14ac:dyDescent="0.35">
      <c r="A8" s="27" t="s">
        <v>318</v>
      </c>
      <c r="B8" s="27"/>
      <c r="C8" s="27"/>
      <c r="D8" s="27"/>
    </row>
    <row r="9" spans="1:4" ht="18" customHeight="1" x14ac:dyDescent="0.35">
      <c r="A9" s="19" t="s">
        <v>302</v>
      </c>
      <c r="B9" s="19" t="s">
        <v>303</v>
      </c>
      <c r="C9" s="19" t="s">
        <v>304</v>
      </c>
      <c r="D9" s="19" t="s">
        <v>305</v>
      </c>
    </row>
    <row r="10" spans="1:4" ht="18" customHeight="1" x14ac:dyDescent="0.35">
      <c r="A10" s="20" t="s">
        <v>319</v>
      </c>
      <c r="B10" s="20" t="s">
        <v>320</v>
      </c>
      <c r="C10" s="21" t="s">
        <v>321</v>
      </c>
      <c r="D10" s="20" t="s">
        <v>322</v>
      </c>
    </row>
    <row r="11" spans="1:4" ht="18" customHeight="1" x14ac:dyDescent="0.35">
      <c r="A11" s="22" t="s">
        <v>323</v>
      </c>
      <c r="B11" s="22" t="s">
        <v>324</v>
      </c>
      <c r="C11" s="21" t="s">
        <v>325</v>
      </c>
      <c r="D11" s="22" t="s">
        <v>326</v>
      </c>
    </row>
    <row r="12" spans="1:4" ht="18" customHeight="1" x14ac:dyDescent="0.35">
      <c r="A12" s="20" t="s">
        <v>327</v>
      </c>
      <c r="B12" s="20" t="s">
        <v>328</v>
      </c>
      <c r="C12" s="21" t="s">
        <v>329</v>
      </c>
      <c r="D12" s="20" t="s">
        <v>322</v>
      </c>
    </row>
    <row r="13" spans="1:4" ht="18" customHeight="1" x14ac:dyDescent="0.35"/>
    <row r="14" spans="1:4" ht="18" customHeight="1" x14ac:dyDescent="0.35">
      <c r="A14" s="27" t="s">
        <v>330</v>
      </c>
      <c r="B14" s="27"/>
      <c r="C14" s="27"/>
      <c r="D14" s="27"/>
    </row>
    <row r="15" spans="1:4" ht="18" customHeight="1" x14ac:dyDescent="0.35">
      <c r="A15" s="19" t="s">
        <v>302</v>
      </c>
      <c r="B15" s="19" t="s">
        <v>303</v>
      </c>
      <c r="C15" s="19" t="s">
        <v>304</v>
      </c>
      <c r="D15" s="19" t="s">
        <v>305</v>
      </c>
    </row>
    <row r="16" spans="1:4" ht="18" customHeight="1" x14ac:dyDescent="0.35">
      <c r="A16" s="20" t="s">
        <v>331</v>
      </c>
      <c r="B16" s="20" t="s">
        <v>332</v>
      </c>
      <c r="C16" s="21" t="s">
        <v>321</v>
      </c>
      <c r="D16" s="20" t="s">
        <v>333</v>
      </c>
    </row>
    <row r="17" spans="1:4" ht="18" customHeight="1" x14ac:dyDescent="0.35">
      <c r="A17" s="22" t="s">
        <v>334</v>
      </c>
      <c r="B17" s="22" t="s">
        <v>335</v>
      </c>
      <c r="C17" s="21" t="s">
        <v>321</v>
      </c>
      <c r="D17" s="22" t="s">
        <v>336</v>
      </c>
    </row>
    <row r="18" spans="1:4" ht="18" customHeight="1" x14ac:dyDescent="0.35">
      <c r="A18" s="20" t="s">
        <v>337</v>
      </c>
      <c r="B18" s="20" t="s">
        <v>338</v>
      </c>
      <c r="C18" s="21" t="s">
        <v>321</v>
      </c>
      <c r="D18" s="20" t="s">
        <v>339</v>
      </c>
    </row>
    <row r="19" spans="1:4" ht="18" customHeight="1" x14ac:dyDescent="0.35">
      <c r="A19" s="22" t="s">
        <v>340</v>
      </c>
      <c r="B19" s="22" t="s">
        <v>341</v>
      </c>
      <c r="C19" s="21" t="s">
        <v>329</v>
      </c>
      <c r="D19" s="22" t="s">
        <v>342</v>
      </c>
    </row>
    <row r="20" spans="1:4" ht="18" customHeight="1" x14ac:dyDescent="0.35"/>
    <row r="21" spans="1:4" ht="18" customHeight="1" x14ac:dyDescent="0.35">
      <c r="A21" s="27" t="s">
        <v>343</v>
      </c>
      <c r="B21" s="27"/>
      <c r="C21" s="27"/>
      <c r="D21" s="27"/>
    </row>
    <row r="22" spans="1:4" ht="18" customHeight="1" x14ac:dyDescent="0.35">
      <c r="A22" s="19" t="s">
        <v>302</v>
      </c>
      <c r="B22" s="19" t="s">
        <v>303</v>
      </c>
      <c r="C22" s="19" t="s">
        <v>304</v>
      </c>
      <c r="D22" s="19" t="s">
        <v>305</v>
      </c>
    </row>
    <row r="23" spans="1:4" ht="18" customHeight="1" x14ac:dyDescent="0.35">
      <c r="A23" s="22" t="s">
        <v>344</v>
      </c>
      <c r="B23" s="22" t="s">
        <v>345</v>
      </c>
      <c r="C23" s="21" t="s">
        <v>329</v>
      </c>
      <c r="D23" s="22" t="s">
        <v>346</v>
      </c>
    </row>
    <row r="24" spans="1:4" ht="18" customHeight="1" x14ac:dyDescent="0.35">
      <c r="A24" s="20" t="s">
        <v>347</v>
      </c>
      <c r="B24" s="20" t="s">
        <v>348</v>
      </c>
      <c r="C24" s="21" t="s">
        <v>329</v>
      </c>
      <c r="D24" s="20" t="s">
        <v>322</v>
      </c>
    </row>
    <row r="25" spans="1:4" ht="18" customHeight="1" x14ac:dyDescent="0.35">
      <c r="A25" s="22" t="s">
        <v>349</v>
      </c>
      <c r="B25" s="22" t="s">
        <v>350</v>
      </c>
      <c r="C25" s="21" t="s">
        <v>329</v>
      </c>
      <c r="D25" s="22" t="s">
        <v>342</v>
      </c>
    </row>
  </sheetData>
  <mergeCells count="5">
    <mergeCell ref="A1:D1"/>
    <mergeCell ref="A2:D2"/>
    <mergeCell ref="A8:D8"/>
    <mergeCell ref="A14:D14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Customers</vt:lpstr>
      <vt:lpstr>Jobs_Schedule</vt:lpstr>
      <vt:lpstr>Route_Planner</vt:lpstr>
      <vt:lpstr>Quotes</vt:lpstr>
      <vt:lpstr>Invoices</vt:lpstr>
      <vt:lpstr>QB_Daily_Export</vt:lpstr>
      <vt:lpstr>Services_Pricing</vt:lpstr>
      <vt:lpstr>AI-Prowler_Commands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Vavro</cp:lastModifiedBy>
  <cp:revision>0</cp:revision>
  <dcterms:created xsi:type="dcterms:W3CDTF">2026-03-27T20:44:19Z</dcterms:created>
  <dcterms:modified xsi:type="dcterms:W3CDTF">2026-03-30T23:28:58Z</dcterms:modified>
  <dc:language>en-US</dc:language>
</cp:coreProperties>
</file>