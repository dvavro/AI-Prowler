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" yWindow="120" windowWidth="24570" windowHeight="14080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Jobs_Schedule" sheetId="2" state="visible" r:id="rId2"/>
    <sheet xmlns:r="http://schemas.openxmlformats.org/officeDocument/2006/relationships" name="Route_Planner" sheetId="3" state="visible" r:id="rId3"/>
    <sheet xmlns:r="http://schemas.openxmlformats.org/officeDocument/2006/relationships" name="Quotes" sheetId="4" state="visible" r:id="rId4"/>
    <sheet xmlns:r="http://schemas.openxmlformats.org/officeDocument/2006/relationships" name="Invoices" sheetId="5" state="visible" r:id="rId5"/>
    <sheet xmlns:r="http://schemas.openxmlformats.org/officeDocument/2006/relationships" name="TimeLog" sheetId="6" state="visible" r:id="rId6"/>
    <sheet xmlns:r="http://schemas.openxmlformats.org/officeDocument/2006/relationships" name="Services_Pricing" sheetId="7" state="visible" r:id="rId7"/>
    <sheet xmlns:r="http://schemas.openxmlformats.org/officeDocument/2006/relationships" name="AI-Prowler_Command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  <sz val="10"/>
    </font>
    <font>
      <name val="Arial"/>
      <sz val="10"/>
    </font>
    <font>
      <name val="Arial"/>
      <color rgb="FF000000"/>
      <sz val="10"/>
    </font>
    <font>
      <name val="Arial"/>
      <i val="1"/>
      <color rgb="FF595959"/>
      <sz val="10"/>
    </font>
    <font>
      <name val="Arial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2E74B5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pivotButton="0" quotePrefix="0" xfId="0"/>
    <xf numFmtId="164" fontId="0" fillId="0" borderId="0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6" fillId="3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7"/>
  <sheetViews>
    <sheetView tabSelected="1" topLeftCell="K1" workbookViewId="0">
      <pane ySplit="2" topLeftCell="A3" activePane="bottomLeft" state="frozen"/>
      <selection pane="bottomLeft" activeCell="Y8" sqref="Y8"/>
    </sheetView>
  </sheetViews>
  <sheetFormatPr baseColWidth="8" defaultRowHeight="14.5"/>
  <cols>
    <col width="13" customWidth="1" style="11" min="1" max="1"/>
    <col width="12" customWidth="1" style="11" min="2" max="2"/>
    <col width="18" customWidth="1" style="11" min="3" max="5"/>
    <col width="14" customWidth="1" style="11" min="6" max="6"/>
    <col width="24" customWidth="1" style="11" min="7" max="7"/>
    <col width="18" customWidth="1" style="11" min="8" max="8"/>
    <col width="16" customWidth="1" style="11" min="9" max="9"/>
    <col width="6" customWidth="1" style="11" min="10" max="10"/>
    <col width="8" customWidth="1" style="11" min="11" max="11"/>
    <col width="12" customWidth="1" style="11" min="12" max="13"/>
    <col width="11" customWidth="1" style="11" min="14" max="17"/>
    <col width="10" customWidth="1" style="11" min="18" max="21"/>
    <col width="12" customWidth="1" style="11" min="22" max="23"/>
    <col width="10" customWidth="1" style="11" min="24" max="25"/>
    <col width="20" customWidth="1" style="11" min="26" max="26"/>
    <col width="16" customWidth="1" style="11" min="27" max="27"/>
    <col width="12" customWidth="1" style="11" min="28" max="28"/>
  </cols>
  <sheetData>
    <row r="1" ht="18" customHeight="1" s="11">
      <c r="A1" s="1" t="inlineStr">
        <is>
          <t>🪟  AI-PROWLER JOB TRACKER — Customer Master List</t>
        </is>
      </c>
    </row>
    <row r="2" ht="52" customHeight="1" s="11">
      <c r="A2" s="2" t="inlineStr">
        <is>
          <t>CustomerID
(CUST-####)</t>
        </is>
      </c>
      <c r="B2" s="2" t="inlineStr">
        <is>
          <t>Customer
Type
Comm/Res</t>
        </is>
      </c>
      <c r="C2" s="2" t="inlineStr">
        <is>
          <t>Company
Name</t>
        </is>
      </c>
      <c r="D2" s="2" t="inlineStr">
        <is>
          <t>First
Name</t>
        </is>
      </c>
      <c r="E2" s="2" t="inlineStr">
        <is>
          <t>Last
Name</t>
        </is>
      </c>
      <c r="F2" s="2" t="inlineStr">
        <is>
          <t>Phone</t>
        </is>
      </c>
      <c r="G2" s="2" t="inlineStr">
        <is>
          <t>Email</t>
        </is>
      </c>
      <c r="H2" s="2" t="inlineStr">
        <is>
          <t>Street
Address
★ AI Route</t>
        </is>
      </c>
      <c r="I2" s="2" t="inlineStr">
        <is>
          <t>City
★ AI Route</t>
        </is>
      </c>
      <c r="J2" s="2" t="inlineStr">
        <is>
          <t>State</t>
        </is>
      </c>
      <c r="K2" s="2" t="inlineStr">
        <is>
          <t>ZIP
★ AI Route</t>
        </is>
      </c>
      <c r="L2" s="2" t="inlineStr">
        <is>
          <t>Latitude
(AI Geocode)</t>
        </is>
      </c>
      <c r="M2" s="2" t="inlineStr">
        <is>
          <t>Longitude
(AI Geocode)</t>
        </is>
      </c>
      <c r="N2" s="2" t="inlineStr">
        <is>
          <t>Service
Type(s)
Win/Press/Both</t>
        </is>
      </c>
      <c r="O2" s="2" t="inlineStr">
        <is>
          <t>Frequency</t>
        </is>
      </c>
      <c r="P2" s="2" t="inlineStr">
        <is>
          <t>Preferred
Day(s)</t>
        </is>
      </c>
      <c r="Q2" s="2" t="inlineStr">
        <is>
          <t>Pref. Time
Window</t>
        </is>
      </c>
      <c r="R2" s="2" t="inlineStr">
        <is>
          <t>Avg Job
Duration
(min)</t>
        </is>
      </c>
      <c r="S2" s="2" t="inlineStr">
        <is>
          <t>Standard
Quote ($)</t>
        </is>
      </c>
      <c r="T2" s="2" t="inlineStr">
        <is>
          <t>Discount
(%)</t>
        </is>
      </c>
      <c r="U2" s="2" t="inlineStr">
        <is>
          <t>Net
Price ($)</t>
        </is>
      </c>
      <c r="V2" s="2" t="inlineStr">
        <is>
          <t>Last Service
Date</t>
        </is>
      </c>
      <c r="W2" s="2" t="inlineStr">
        <is>
          <t>Next Sched.
Date</t>
        </is>
      </c>
      <c r="X2" s="2" t="inlineStr">
        <is>
          <t>Total Jobs
Completed</t>
        </is>
      </c>
      <c r="Y2" s="2" t="inlineStr">
        <is>
          <t>Lifetime
Revenue ($)</t>
        </is>
      </c>
      <c r="Z2" s="2" t="inlineStr">
        <is>
          <t>Gate Code /
Access Notes</t>
        </is>
      </c>
      <c r="AA2" s="2" t="inlineStr">
        <is>
          <t>On-Site
Contact</t>
        </is>
      </c>
      <c r="AB2" s="2" t="inlineStr">
        <is>
          <t>Status
Active/Inactive</t>
        </is>
      </c>
    </row>
    <row r="3" ht="25" customHeight="1" s="11">
      <c r="A3" s="3" t="inlineStr">
        <is>
          <t>CUST-0001</t>
        </is>
      </c>
      <c r="B3" s="3" t="inlineStr">
        <is>
          <t>Commercial</t>
        </is>
      </c>
      <c r="C3" s="3" t="inlineStr">
        <is>
          <t>Sunshine Realty LLC</t>
        </is>
      </c>
      <c r="D3" s="3" t="inlineStr">
        <is>
          <t>Karen</t>
        </is>
      </c>
      <c r="E3" s="3" t="inlineStr">
        <is>
          <t>Walsh</t>
        </is>
      </c>
      <c r="F3" s="3" t="inlineStr">
        <is>
          <t>386-555-0101</t>
        </is>
      </c>
      <c r="G3" s="3" t="inlineStr">
        <is>
          <t>karen@sunshine.com</t>
        </is>
      </c>
      <c r="H3" s="3" t="inlineStr">
        <is>
          <t>125 Harbor Blvd</t>
        </is>
      </c>
      <c r="I3" s="3" t="inlineStr">
        <is>
          <t>New Smyrna Beach</t>
        </is>
      </c>
      <c r="J3" s="3" t="inlineStr">
        <is>
          <t>FL</t>
        </is>
      </c>
      <c r="K3" s="3" t="inlineStr">
        <is>
          <t>32168</t>
        </is>
      </c>
      <c r="N3" s="3" t="inlineStr">
        <is>
          <t>Both</t>
        </is>
      </c>
      <c r="O3" s="3" t="inlineStr">
        <is>
          <t>Monthly</t>
        </is>
      </c>
      <c r="P3" s="3" t="inlineStr">
        <is>
          <t>Mon,Wed</t>
        </is>
      </c>
      <c r="Q3" s="3" t="inlineStr">
        <is>
          <t>8am-5pm</t>
        </is>
      </c>
      <c r="R3" s="3" t="n">
        <v>90</v>
      </c>
      <c r="S3" s="3" t="n">
        <v>350</v>
      </c>
      <c r="T3" s="3" t="n">
        <v>0.1</v>
      </c>
      <c r="U3" s="4">
        <f>S3*(1-T3)</f>
        <v/>
      </c>
      <c r="Y3" s="4">
        <f>X3*U3</f>
        <v/>
      </c>
      <c r="Z3" s="3" t="inlineStr">
        <is>
          <t>Gate code 4421</t>
        </is>
      </c>
      <c r="AA3" s="3" t="inlineStr">
        <is>
          <t>On-site mgr: Tom</t>
        </is>
      </c>
      <c r="AB3" s="3" t="inlineStr">
        <is>
          <t>Active</t>
        </is>
      </c>
    </row>
    <row r="4">
      <c r="A4" s="3" t="inlineStr">
        <is>
          <t>CUST-0002</t>
        </is>
      </c>
      <c r="B4" s="3" t="inlineStr">
        <is>
          <t>Residential</t>
        </is>
      </c>
      <c r="D4" s="3" t="inlineStr">
        <is>
          <t>Michael</t>
        </is>
      </c>
      <c r="E4" s="3" t="inlineStr">
        <is>
          <t>Torres</t>
        </is>
      </c>
      <c r="F4" s="3" t="inlineStr">
        <is>
          <t>386-555-0202</t>
        </is>
      </c>
      <c r="G4" s="3" t="inlineStr">
        <is>
          <t>mtorres@gmail.com</t>
        </is>
      </c>
      <c r="H4" s="3" t="inlineStr">
        <is>
          <t>47 Oceanview Dr</t>
        </is>
      </c>
      <c r="I4" s="3" t="inlineStr">
        <is>
          <t>Edgewater</t>
        </is>
      </c>
      <c r="J4" s="3" t="inlineStr">
        <is>
          <t>FL</t>
        </is>
      </c>
      <c r="K4" s="3" t="inlineStr">
        <is>
          <t>32141</t>
        </is>
      </c>
      <c r="N4" s="3" t="inlineStr">
        <is>
          <t>Window</t>
        </is>
      </c>
      <c r="O4" s="3" t="inlineStr">
        <is>
          <t>Quarterly</t>
        </is>
      </c>
      <c r="P4" s="3" t="inlineStr">
        <is>
          <t>Saturday</t>
        </is>
      </c>
      <c r="Q4" s="3" t="inlineStr">
        <is>
          <t>9am-12pm</t>
        </is>
      </c>
      <c r="R4" s="3" t="n">
        <v>60</v>
      </c>
      <c r="S4" s="3" t="n">
        <v>185</v>
      </c>
      <c r="T4" s="3" t="n">
        <v>0</v>
      </c>
      <c r="U4" s="4">
        <f>S4*(1-T4)</f>
        <v/>
      </c>
      <c r="Y4" s="4">
        <f>X4*U4</f>
        <v/>
      </c>
      <c r="Z4" s="3" t="inlineStr">
        <is>
          <t>Side gate unlocked</t>
        </is>
      </c>
      <c r="AB4" s="3" t="inlineStr">
        <is>
          <t>Active</t>
        </is>
      </c>
    </row>
    <row r="5" ht="25" customHeight="1" s="11">
      <c r="A5" s="3" t="inlineStr">
        <is>
          <t>CUST-0003</t>
        </is>
      </c>
      <c r="B5" s="3" t="inlineStr">
        <is>
          <t>Commercial</t>
        </is>
      </c>
      <c r="C5" s="3" t="inlineStr">
        <is>
          <t>Blue Wave Cafe</t>
        </is>
      </c>
      <c r="D5" s="3" t="inlineStr">
        <is>
          <t>Jennifer</t>
        </is>
      </c>
      <c r="E5" s="3" t="inlineStr">
        <is>
          <t>Nguyen</t>
        </is>
      </c>
      <c r="F5" s="3" t="inlineStr">
        <is>
          <t>386-555-0303</t>
        </is>
      </c>
      <c r="G5" s="3" t="inlineStr">
        <is>
          <t>jnguyen@bluewavecafe.com</t>
        </is>
      </c>
      <c r="H5" s="3" t="inlineStr">
        <is>
          <t>810 Canal St</t>
        </is>
      </c>
      <c r="I5" s="3" t="inlineStr">
        <is>
          <t>New Smyrna Beach</t>
        </is>
      </c>
      <c r="J5" s="3" t="inlineStr">
        <is>
          <t>FL</t>
        </is>
      </c>
      <c r="K5" s="3" t="inlineStr">
        <is>
          <t>32168</t>
        </is>
      </c>
      <c r="N5" s="3" t="inlineStr">
        <is>
          <t>Window</t>
        </is>
      </c>
      <c r="O5" s="3" t="inlineStr">
        <is>
          <t>Monthly</t>
        </is>
      </c>
      <c r="P5" s="3" t="inlineStr">
        <is>
          <t>Tuesday</t>
        </is>
      </c>
      <c r="Q5" s="3" t="inlineStr">
        <is>
          <t>7am-9am</t>
        </is>
      </c>
      <c r="R5" s="3" t="n">
        <v>45</v>
      </c>
      <c r="S5" s="3" t="n">
        <v>220</v>
      </c>
      <c r="T5" s="3" t="n">
        <v>0.05</v>
      </c>
      <c r="U5" s="4">
        <f>S5*(1-T5)</f>
        <v/>
      </c>
      <c r="Y5" s="4">
        <f>X5*U5</f>
        <v/>
      </c>
      <c r="Z5" s="3" t="inlineStr">
        <is>
          <t>Back entrance only</t>
        </is>
      </c>
      <c r="AA5" s="3" t="inlineStr">
        <is>
          <t>Mgr: Jennifer</t>
        </is>
      </c>
      <c r="AB5" s="3" t="inlineStr">
        <is>
          <t>Active</t>
        </is>
      </c>
    </row>
    <row r="6">
      <c r="A6" s="3" t="inlineStr">
        <is>
          <t>CUST-0004</t>
        </is>
      </c>
      <c r="B6" s="3" t="inlineStr">
        <is>
          <t>Residential</t>
        </is>
      </c>
      <c r="D6" s="3" t="inlineStr">
        <is>
          <t>Robert</t>
        </is>
      </c>
      <c r="E6" s="3" t="inlineStr">
        <is>
          <t>Martinez</t>
        </is>
      </c>
      <c r="F6" s="3" t="inlineStr">
        <is>
          <t>386-555-0404</t>
        </is>
      </c>
      <c r="G6" s="3" t="inlineStr">
        <is>
          <t>rmartinez@yahoo.com</t>
        </is>
      </c>
      <c r="H6" s="3" t="inlineStr">
        <is>
          <t>233 Pine Tree Rd</t>
        </is>
      </c>
      <c r="I6" s="3" t="inlineStr">
        <is>
          <t>Oak Hill</t>
        </is>
      </c>
      <c r="J6" s="3" t="inlineStr">
        <is>
          <t>FL</t>
        </is>
      </c>
      <c r="K6" s="3" t="inlineStr">
        <is>
          <t>32759</t>
        </is>
      </c>
      <c r="N6" s="3" t="inlineStr">
        <is>
          <t>Pressure</t>
        </is>
      </c>
      <c r="O6" s="3" t="inlineStr">
        <is>
          <t>Biweekly</t>
        </is>
      </c>
      <c r="P6" s="3" t="inlineStr">
        <is>
          <t>Thursday</t>
        </is>
      </c>
      <c r="Q6" s="3" t="inlineStr">
        <is>
          <t>10am-2pm</t>
        </is>
      </c>
      <c r="R6" s="3" t="n">
        <v>75</v>
      </c>
      <c r="S6" s="3" t="n">
        <v>160</v>
      </c>
      <c r="T6" s="3" t="n">
        <v>0</v>
      </c>
      <c r="U6" s="4">
        <f>S6*(1-T6)</f>
        <v/>
      </c>
      <c r="Y6" s="4">
        <f>X6*U6</f>
        <v/>
      </c>
      <c r="Z6" s="3" t="inlineStr">
        <is>
          <t>Dog in yard - call ahead</t>
        </is>
      </c>
      <c r="AB6" s="3" t="inlineStr">
        <is>
          <t>Active</t>
        </is>
      </c>
    </row>
    <row r="7" ht="25" customHeight="1" s="11">
      <c r="A7" s="3" t="inlineStr">
        <is>
          <t>CUST-0005</t>
        </is>
      </c>
      <c r="B7" s="3" t="inlineStr">
        <is>
          <t>Commercial</t>
        </is>
      </c>
      <c r="C7" s="3" t="inlineStr">
        <is>
          <t>Harbor Inn Motel</t>
        </is>
      </c>
      <c r="D7" s="3" t="inlineStr">
        <is>
          <t>Sandra</t>
        </is>
      </c>
      <c r="E7" s="3" t="inlineStr">
        <is>
          <t>Kim</t>
        </is>
      </c>
      <c r="F7" s="3" t="inlineStr">
        <is>
          <t>386-555-0505</t>
        </is>
      </c>
      <c r="G7" s="3" t="inlineStr">
        <is>
          <t>sandra@harborinn.com</t>
        </is>
      </c>
      <c r="H7" s="3" t="inlineStr">
        <is>
          <t>500 N Dixie Fwy</t>
        </is>
      </c>
      <c r="I7" s="3" t="inlineStr">
        <is>
          <t>New Smyrna Beach</t>
        </is>
      </c>
      <c r="J7" s="3" t="inlineStr">
        <is>
          <t>FL</t>
        </is>
      </c>
      <c r="K7" s="3" t="inlineStr">
        <is>
          <t>32168</t>
        </is>
      </c>
      <c r="N7" s="3" t="inlineStr">
        <is>
          <t>Both</t>
        </is>
      </c>
      <c r="O7" s="3" t="inlineStr">
        <is>
          <t>Biweekly</t>
        </is>
      </c>
      <c r="P7" s="3" t="inlineStr">
        <is>
          <t>Mon,Thu</t>
        </is>
      </c>
      <c r="Q7" s="3" t="inlineStr">
        <is>
          <t>6am-10am</t>
        </is>
      </c>
      <c r="R7" s="3" t="n">
        <v>150</v>
      </c>
      <c r="S7" s="3" t="n">
        <v>625</v>
      </c>
      <c r="T7" s="3" t="n">
        <v>0.15</v>
      </c>
      <c r="U7" s="4">
        <f>S7*(1-T7)</f>
        <v/>
      </c>
      <c r="Y7" s="4">
        <f>X7*U7</f>
        <v/>
      </c>
      <c r="Z7" s="3" t="inlineStr">
        <is>
          <t>Service entrance rear</t>
        </is>
      </c>
      <c r="AA7" s="3" t="inlineStr">
        <is>
          <t>GM: Brian</t>
        </is>
      </c>
      <c r="AB7" s="3" t="inlineStr">
        <is>
          <t>Active</t>
        </is>
      </c>
    </row>
    <row r="8" ht="25" customFormat="1" customHeight="1" s="9">
      <c r="A8" s="3" t="inlineStr">
        <is>
          <t>CUST-0006</t>
        </is>
      </c>
      <c r="B8" s="3" t="inlineStr">
        <is>
          <t>Commercial</t>
        </is>
      </c>
      <c r="C8" s="3" t="inlineStr">
        <is>
          <t>Prospect Corp</t>
        </is>
      </c>
      <c r="I8" s="3" t="inlineStr">
        <is>
          <t>New Smyrna Beach</t>
        </is>
      </c>
      <c r="J8" s="3" t="inlineStr">
        <is>
          <t>FL</t>
        </is>
      </c>
      <c r="N8" s="3" t="inlineStr">
        <is>
          <t>Window</t>
        </is>
      </c>
      <c r="O8" s="3" t="inlineStr">
        <is>
          <t>One-time</t>
        </is>
      </c>
      <c r="Y8" s="4">
        <f>X8*U8</f>
        <v/>
      </c>
      <c r="AB8" s="3" t="inlineStr">
        <is>
          <t>Prospect</t>
        </is>
      </c>
    </row>
    <row r="9" customFormat="1" s="9">
      <c r="A9" s="3" t="inlineStr">
        <is>
          <t>CUST-0007</t>
        </is>
      </c>
      <c r="C9" s="9" t="inlineStr">
        <is>
          <t>abc</t>
        </is>
      </c>
      <c r="Y9" s="4" t="n"/>
    </row>
    <row r="10" customFormat="1" s="9">
      <c r="A10" s="3" t="inlineStr">
        <is>
          <t>CUST-0008</t>
        </is>
      </c>
      <c r="Y10" s="4" t="n"/>
    </row>
    <row r="11" customFormat="1" s="9">
      <c r="A11" s="3" t="inlineStr">
        <is>
          <t>CUST-0009</t>
        </is>
      </c>
      <c r="Y11" s="4" t="n"/>
    </row>
    <row r="12" customFormat="1" s="9">
      <c r="A12" s="3" t="inlineStr">
        <is>
          <t>CUST-0010</t>
        </is>
      </c>
      <c r="Y12" s="4" t="n"/>
    </row>
    <row r="13" customFormat="1" s="9">
      <c r="A13" s="3" t="inlineStr">
        <is>
          <t>CUST-0011</t>
        </is>
      </c>
      <c r="Y13" s="4" t="n"/>
    </row>
    <row r="14" customFormat="1" s="9">
      <c r="A14" s="3" t="inlineStr">
        <is>
          <t>CUST-0012</t>
        </is>
      </c>
      <c r="Y14" s="4" t="n"/>
    </row>
    <row r="15" customFormat="1" s="9">
      <c r="A15" s="3" t="inlineStr">
        <is>
          <t>CUST-0013</t>
        </is>
      </c>
      <c r="Y15" s="4" t="n"/>
    </row>
    <row r="16" customFormat="1" s="9">
      <c r="A16" s="3" t="inlineStr">
        <is>
          <t>CUST-0014</t>
        </is>
      </c>
      <c r="Y16" s="4" t="n"/>
    </row>
    <row r="17" customFormat="1" s="9">
      <c r="A17" s="3" t="inlineStr">
        <is>
          <t>CUST-0015</t>
        </is>
      </c>
      <c r="Y17" s="4" t="n"/>
    </row>
    <row r="18" customFormat="1" s="9">
      <c r="A18" s="3" t="inlineStr">
        <is>
          <t>CUST-0016</t>
        </is>
      </c>
      <c r="Y18" s="4" t="n"/>
    </row>
    <row r="19" customFormat="1" s="9">
      <c r="A19" s="3" t="inlineStr">
        <is>
          <t>CUST-0017</t>
        </is>
      </c>
      <c r="Y19" s="4" t="n"/>
    </row>
    <row r="20" customFormat="1" s="9">
      <c r="A20" s="3" t="inlineStr">
        <is>
          <t>CUST-0018</t>
        </is>
      </c>
      <c r="Y20" s="4" t="n"/>
    </row>
    <row r="21" customFormat="1" s="9">
      <c r="A21" s="3" t="inlineStr">
        <is>
          <t>CUST-0019</t>
        </is>
      </c>
      <c r="Y21" s="4" t="n"/>
    </row>
    <row r="22" customFormat="1" s="9">
      <c r="A22" s="3" t="inlineStr">
        <is>
          <t>CUST-0020</t>
        </is>
      </c>
      <c r="Y22" s="4" t="n"/>
    </row>
    <row r="23" customFormat="1" s="9">
      <c r="A23" s="3" t="inlineStr">
        <is>
          <t>CUST-0021</t>
        </is>
      </c>
      <c r="Y23" s="4" t="n"/>
    </row>
    <row r="24" customFormat="1" s="9">
      <c r="A24" s="3" t="inlineStr">
        <is>
          <t>CUST-0022</t>
        </is>
      </c>
      <c r="Y24" s="4" t="n"/>
    </row>
    <row r="25" customFormat="1" s="9">
      <c r="A25" s="3" t="inlineStr">
        <is>
          <t>CUST-0023</t>
        </is>
      </c>
      <c r="Y25" s="4" t="n"/>
    </row>
    <row r="26" customFormat="1" s="9">
      <c r="A26" s="3" t="inlineStr">
        <is>
          <t>CUST-0024</t>
        </is>
      </c>
      <c r="Y26" s="4" t="n"/>
    </row>
    <row r="27" customFormat="1" s="9">
      <c r="Y27" s="4" t="n"/>
    </row>
    <row r="28" customFormat="1" s="9">
      <c r="Y28" s="4" t="n"/>
    </row>
    <row r="29" customFormat="1" s="9">
      <c r="Y29" s="4" t="n"/>
    </row>
    <row r="30" customFormat="1" s="9">
      <c r="Y30" s="4" t="n"/>
    </row>
    <row r="31" customFormat="1" s="9">
      <c r="Y31" s="4" t="n"/>
    </row>
    <row r="32" customFormat="1" s="9">
      <c r="Y32" s="4" t="n"/>
    </row>
    <row r="33" customFormat="1" s="9">
      <c r="Y33" s="4" t="n"/>
    </row>
    <row r="34" customFormat="1" s="9">
      <c r="Y34" s="4" t="n"/>
    </row>
    <row r="35" customFormat="1" s="9">
      <c r="Y35" s="4" t="n"/>
    </row>
    <row r="36" customFormat="1" s="9">
      <c r="Y36" s="4" t="n"/>
    </row>
    <row r="37" customFormat="1" s="9">
      <c r="Y37" s="4" t="n"/>
    </row>
  </sheetData>
  <dataValidations count="1">
    <dataValidation sqref="O3:O500" showDropDown="0" showInputMessage="0" showErrorMessage="1" allowBlank="1" errorTitle="Invalid Frequency" error="Please choose one of: Weekly, Biweekly, Monthly, Bi-Monthly, Quarterly, Semi-Annually, Annually, One-time" type="list">
      <formula1>"Weekly,Biweekly,Monthly,Bi-Monthly,Quarterly,Semi-Annually,Annually,One-time"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workbookViewId="0">
      <pane ySplit="2" topLeftCell="A3" activePane="bottomLeft" state="frozen"/>
      <selection pane="bottomLeft" activeCell="M10" sqref="M10"/>
    </sheetView>
  </sheetViews>
  <sheetFormatPr baseColWidth="8" defaultRowHeight="14.5"/>
  <cols>
    <col width="11" customWidth="1" style="11" min="1" max="1"/>
    <col width="12" customWidth="1" style="11" min="2" max="2"/>
    <col width="20" customWidth="1" style="11" min="3" max="3"/>
    <col width="12" customWidth="1" style="11" min="4" max="4"/>
    <col width="18" customWidth="1" style="11" min="5" max="5"/>
    <col width="16" customWidth="1" style="11" min="6" max="6"/>
    <col width="7" customWidth="1" style="11" min="7" max="8"/>
    <col width="12" customWidth="1" style="11" min="9" max="11"/>
    <col width="18" customWidth="1" style="11" min="12" max="12"/>
    <col width="8" customWidth="1" style="11" min="13" max="14"/>
    <col width="9" customWidth="1" style="11" min="15" max="15"/>
    <col width="15.1796875" customWidth="1" style="11" min="16" max="16"/>
    <col width="24.81640625" customWidth="1" style="11" min="17" max="17"/>
    <col width="10" customWidth="1" style="11" min="18" max="19"/>
    <col width="8" customWidth="1" style="11" min="20" max="20"/>
    <col width="14" customWidth="1" style="3" min="21" max="22"/>
    <col width="11" customWidth="1" style="11" min="23" max="26"/>
    <col width="9" customWidth="1" style="11" min="27" max="27"/>
    <col width="11" customWidth="1" style="11" min="28" max="28"/>
    <col width="12" customWidth="1" style="11" min="29" max="29"/>
    <col width="11" customWidth="1" style="11" min="30" max="30"/>
    <col width="13" customWidth="1" style="11" min="31" max="31"/>
    <col width="10" customWidth="1" style="11" min="32" max="32"/>
    <col width="18" customWidth="1" style="11" min="33" max="33"/>
  </cols>
  <sheetData>
    <row r="1" ht="18" customHeight="1" s="11">
      <c r="A1" s="1" t="inlineStr">
        <is>
          <t>📅  JOBS &amp; SCHEDULE — All Service Appointments</t>
        </is>
      </c>
    </row>
    <row r="2" ht="52" customHeight="1" s="11">
      <c r="A2" s="2" t="inlineStr">
        <is>
          <t>JobID
(JOB-####)</t>
        </is>
      </c>
      <c r="B2" s="2" t="inlineStr">
        <is>
          <t>CustomerID
(Customers!A)</t>
        </is>
      </c>
      <c r="C2" s="2" t="inlineStr">
        <is>
          <t>Customer Name
/ Company</t>
        </is>
      </c>
      <c r="D2" s="2" t="inlineStr">
        <is>
          <t>Customer
Type</t>
        </is>
      </c>
      <c r="E2" s="2" t="inlineStr">
        <is>
          <t>Street Address
★ AI Route</t>
        </is>
      </c>
      <c r="F2" s="2" t="inlineStr">
        <is>
          <t>City
★ AI Route</t>
        </is>
      </c>
      <c r="G2" s="2" t="inlineStr">
        <is>
          <t>State</t>
        </is>
      </c>
      <c r="H2" s="2" t="inlineStr">
        <is>
          <t>ZIP
★ AI Route</t>
        </is>
      </c>
      <c r="I2" s="2" t="inlineStr">
        <is>
          <t>Latitude
(AI Geocode)</t>
        </is>
      </c>
      <c r="J2" s="2" t="inlineStr">
        <is>
          <t>Longitude
(AI Geocode)</t>
        </is>
      </c>
      <c r="K2" s="2" t="inlineStr">
        <is>
          <t>Service
Date</t>
        </is>
      </c>
      <c r="L2" s="2" t="inlineStr">
        <is>
          <t>End Date
(blank = single-day job)</t>
        </is>
      </c>
      <c r="M2" s="2" t="inlineStr">
        <is>
          <t>Day of
Week</t>
        </is>
      </c>
      <c r="N2" s="2" t="inlineStr">
        <is>
          <t>Start
Time</t>
        </is>
      </c>
      <c r="O2" s="2" t="inlineStr">
        <is>
          <t>End
Time</t>
        </is>
      </c>
      <c r="P2" s="2" t="inlineStr">
        <is>
          <t>Service
Type</t>
        </is>
      </c>
      <c r="Q2" s="2" t="inlineStr">
        <is>
          <t>Service
Details / Notes</t>
        </is>
      </c>
      <c r="R2" s="2" t="inlineStr">
        <is>
          <t>Crew /
Technician</t>
        </is>
      </c>
      <c r="S2" s="2" t="inlineStr">
        <is>
          <t>Est.
Duration</t>
        </is>
      </c>
      <c r="T2" s="2" t="inlineStr">
        <is>
          <t>Est.
Duration
Unit</t>
        </is>
      </c>
      <c r="U2" s="2" t="inlineStr">
        <is>
          <t>Actual
Duration</t>
        </is>
      </c>
      <c r="V2" s="2" t="inlineStr">
        <is>
          <t>Actual
Duration
Unit</t>
        </is>
      </c>
      <c r="W2" s="2" t="inlineStr">
        <is>
          <t>Route
Stop #
★ AI Route</t>
        </is>
      </c>
      <c r="X2" s="2" t="inlineStr">
        <is>
          <t>Route
Map URL
★ AI Prowler</t>
        </is>
      </c>
      <c r="Y2" s="2" t="inlineStr">
        <is>
          <t>Weather
Check
★ AI Prowler</t>
        </is>
      </c>
      <c r="Z2" s="2" t="inlineStr">
        <is>
          <t>Job
Status</t>
        </is>
      </c>
      <c r="AA2" s="2" t="inlineStr">
        <is>
          <t>Quote
Amount ($)</t>
        </is>
      </c>
      <c r="AB2" s="2" t="inlineStr">
        <is>
          <t>Discount
Applied ($)</t>
        </is>
      </c>
      <c r="AC2" s="2" t="inlineStr">
        <is>
          <t>Actual
Amount ($)
=Quote-Discount</t>
        </is>
      </c>
      <c r="AD2" s="2" t="inlineStr">
        <is>
          <t>Tax
(7%)</t>
        </is>
      </c>
      <c r="AE2" s="2" t="inlineStr">
        <is>
          <t>Invoice
Total ($)</t>
        </is>
      </c>
      <c r="AF2" s="2" t="inlineStr">
        <is>
          <t>Recurrence</t>
        </is>
      </c>
      <c r="AG2" s="2" t="inlineStr">
        <is>
          <t>InvoiceID
(INV-####)</t>
        </is>
      </c>
      <c r="AH2" s="2" t="inlineStr">
        <is>
          <t>Invoice
Sent Date</t>
        </is>
      </c>
      <c r="AI2" s="2" t="inlineStr">
        <is>
          <t>Payment
Status</t>
        </is>
      </c>
    </row>
    <row r="3" ht="25" customFormat="1" customHeight="1" s="9">
      <c r="A3" s="3" t="inlineStr">
        <is>
          <t>JOB-0001</t>
        </is>
      </c>
      <c r="B3" s="3" t="inlineStr">
        <is>
          <t>CUST-0001</t>
        </is>
      </c>
      <c r="C3" s="3" t="inlineStr">
        <is>
          <t>Sunshine Realty LLC</t>
        </is>
      </c>
      <c r="D3" s="3" t="inlineStr">
        <is>
          <t>Commercial</t>
        </is>
      </c>
      <c r="E3" s="3" t="inlineStr">
        <is>
          <t>125 Harbor Blvd</t>
        </is>
      </c>
      <c r="F3" s="3" t="inlineStr">
        <is>
          <t>New Smyrna Beach</t>
        </is>
      </c>
      <c r="G3" s="3" t="inlineStr">
        <is>
          <t>FL</t>
        </is>
      </c>
      <c r="H3" s="3" t="inlineStr">
        <is>
          <t>32168</t>
        </is>
      </c>
      <c r="K3" s="3" t="inlineStr">
        <is>
          <t>2026-08-22</t>
        </is>
      </c>
      <c r="L3" s="6" t="n"/>
      <c r="M3" s="3" t="inlineStr">
        <is>
          <t>Saturday</t>
        </is>
      </c>
      <c r="N3" s="3" t="inlineStr">
        <is>
          <t>08:00</t>
        </is>
      </c>
      <c r="O3" s="3" t="inlineStr">
        <is>
          <t>09:30</t>
        </is>
      </c>
      <c r="P3" s="3" t="inlineStr">
        <is>
          <t>Window</t>
        </is>
      </c>
      <c r="Q3" s="3" t="inlineStr">
        <is>
          <t>Full exterior window cleaning — 12 windows</t>
        </is>
      </c>
      <c r="R3" s="3" t="inlineStr">
        <is>
          <t>Mike C.</t>
        </is>
      </c>
      <c r="S3" s="3" t="n">
        <v>90</v>
      </c>
      <c r="T3" s="3" t="inlineStr">
        <is>
          <t>min</t>
        </is>
      </c>
      <c r="U3" s="3" t="n">
        <v>90</v>
      </c>
      <c r="V3" s="7" t="inlineStr">
        <is>
          <t>min</t>
        </is>
      </c>
      <c r="W3" s="3" t="n">
        <v>1</v>
      </c>
      <c r="Z3" s="3" t="inlineStr">
        <is>
          <t>In Progress</t>
        </is>
      </c>
      <c r="AA3" s="3" t="n">
        <v>350</v>
      </c>
      <c r="AB3" s="4" t="n">
        <v>0</v>
      </c>
      <c r="AC3" s="3">
        <f>AA3-AB3</f>
        <v/>
      </c>
      <c r="AD3" s="4">
        <f>(AA3-AB3)*0.07</f>
        <v/>
      </c>
      <c r="AE3" s="4">
        <f>AC3+AD3</f>
        <v/>
      </c>
      <c r="AF3" s="3" t="inlineStr">
        <is>
          <t>Monthly</t>
        </is>
      </c>
      <c r="AG3" s="3" t="inlineStr">
        <is>
          <t>INV-0001</t>
        </is>
      </c>
      <c r="AI3" s="3" t="inlineStr">
        <is>
          <t>Paid</t>
        </is>
      </c>
    </row>
    <row r="4" ht="25" customFormat="1" customHeight="1" s="9">
      <c r="A4" s="3" t="inlineStr">
        <is>
          <t>JOB-0002</t>
        </is>
      </c>
      <c r="B4" s="3" t="inlineStr">
        <is>
          <t>CUST-0003</t>
        </is>
      </c>
      <c r="C4" s="3" t="inlineStr">
        <is>
          <t>Blue Wave Cafe</t>
        </is>
      </c>
      <c r="D4" s="3" t="inlineStr">
        <is>
          <t>Commercial</t>
        </is>
      </c>
      <c r="E4" s="3" t="inlineStr">
        <is>
          <t>810 Canal St</t>
        </is>
      </c>
      <c r="F4" s="3" t="inlineStr">
        <is>
          <t>New Smyrna Beach</t>
        </is>
      </c>
      <c r="G4" s="3" t="inlineStr">
        <is>
          <t>FL</t>
        </is>
      </c>
      <c r="H4" s="3" t="inlineStr">
        <is>
          <t>32168</t>
        </is>
      </c>
      <c r="K4" s="3" t="inlineStr">
        <is>
          <t>2026-08-22</t>
        </is>
      </c>
      <c r="L4" s="6" t="n"/>
      <c r="M4" s="3" t="inlineStr">
        <is>
          <t>Saturday</t>
        </is>
      </c>
      <c r="N4" s="3" t="inlineStr">
        <is>
          <t>13:00</t>
        </is>
      </c>
      <c r="O4" s="3" t="inlineStr">
        <is>
          <t>13:45</t>
        </is>
      </c>
      <c r="P4" s="3" t="inlineStr">
        <is>
          <t>Window</t>
        </is>
      </c>
      <c r="Q4" s="3" t="inlineStr">
        <is>
          <t>Storefront glass — 3 panels inside &amp; out</t>
        </is>
      </c>
      <c r="R4" s="3" t="inlineStr">
        <is>
          <t>Mike C.</t>
        </is>
      </c>
      <c r="S4" s="3" t="n">
        <v>45</v>
      </c>
      <c r="T4" s="3" t="inlineStr">
        <is>
          <t>min</t>
        </is>
      </c>
      <c r="U4" s="3" t="n"/>
      <c r="V4" s="7" t="inlineStr">
        <is>
          <t>min</t>
        </is>
      </c>
      <c r="W4" s="3" t="n">
        <v>2</v>
      </c>
      <c r="Z4" s="3" t="inlineStr">
        <is>
          <t>Scheduled</t>
        </is>
      </c>
      <c r="AA4" s="3" t="n">
        <v>220</v>
      </c>
      <c r="AB4" s="4" t="n">
        <v>0</v>
      </c>
      <c r="AC4" s="3">
        <f>AA4-AB4</f>
        <v/>
      </c>
      <c r="AD4" s="4">
        <f>(AA4-AB4)*0.07</f>
        <v/>
      </c>
      <c r="AE4" s="4">
        <f>AC4+AD4</f>
        <v/>
      </c>
      <c r="AF4" s="3" t="inlineStr">
        <is>
          <t>Monthly</t>
        </is>
      </c>
      <c r="AG4" s="3" t="n"/>
      <c r="AI4" s="3" t="inlineStr">
        <is>
          <t>Unpaid</t>
        </is>
      </c>
    </row>
    <row r="5" ht="25" customFormat="1" customHeight="1" s="9">
      <c r="A5" s="3" t="inlineStr">
        <is>
          <t>JOB-0003</t>
        </is>
      </c>
      <c r="B5" s="3" t="inlineStr">
        <is>
          <t>CUST-0002</t>
        </is>
      </c>
      <c r="C5" s="3" t="inlineStr">
        <is>
          <t>Michael Torres</t>
        </is>
      </c>
      <c r="D5" s="3" t="inlineStr">
        <is>
          <t>Residential</t>
        </is>
      </c>
      <c r="E5" s="3" t="inlineStr">
        <is>
          <t>47 Oceanview Dr</t>
        </is>
      </c>
      <c r="F5" s="3" t="inlineStr">
        <is>
          <t>Edgewater</t>
        </is>
      </c>
      <c r="G5" s="3" t="inlineStr">
        <is>
          <t>FL</t>
        </is>
      </c>
      <c r="H5" s="3" t="inlineStr">
        <is>
          <t>32141</t>
        </is>
      </c>
      <c r="K5" s="3" t="inlineStr">
        <is>
          <t>2026-08-24</t>
        </is>
      </c>
      <c r="L5" s="6" t="n"/>
      <c r="M5" s="3" t="inlineStr">
        <is>
          <t>Monday</t>
        </is>
      </c>
      <c r="N5" s="3" t="inlineStr">
        <is>
          <t>08:00</t>
        </is>
      </c>
      <c r="O5" s="3" t="inlineStr">
        <is>
          <t>09:00</t>
        </is>
      </c>
      <c r="P5" s="3" t="inlineStr">
        <is>
          <t>Window</t>
        </is>
      </c>
      <c r="Q5" s="3" t="inlineStr">
        <is>
          <t>Whole house exterior windows — 14 panes</t>
        </is>
      </c>
      <c r="R5" s="3" t="inlineStr">
        <is>
          <t>Jake R.</t>
        </is>
      </c>
      <c r="S5" s="3" t="n">
        <v>60</v>
      </c>
      <c r="T5" s="3" t="inlineStr">
        <is>
          <t>min</t>
        </is>
      </c>
      <c r="U5" s="3" t="n"/>
      <c r="V5" s="7" t="inlineStr">
        <is>
          <t>min</t>
        </is>
      </c>
      <c r="W5" s="3" t="n">
        <v>1</v>
      </c>
      <c r="Z5" s="3" t="inlineStr">
        <is>
          <t>Scheduled</t>
        </is>
      </c>
      <c r="AA5" s="3" t="n">
        <v>185</v>
      </c>
      <c r="AB5" s="4" t="n">
        <v>0</v>
      </c>
      <c r="AC5" s="3">
        <f>AA5-AB5</f>
        <v/>
      </c>
      <c r="AD5" s="4">
        <f>(AA5-AB5)*0.07</f>
        <v/>
      </c>
      <c r="AE5" s="4">
        <f>AC5+AD5</f>
        <v/>
      </c>
      <c r="AF5" s="3" t="inlineStr">
        <is>
          <t>Quarterly</t>
        </is>
      </c>
      <c r="AG5" s="3" t="n"/>
      <c r="AI5" s="3" t="inlineStr">
        <is>
          <t>Unpaid</t>
        </is>
      </c>
    </row>
    <row r="6" ht="25" customFormat="1" customHeight="1" s="9">
      <c r="A6" s="3" t="inlineStr">
        <is>
          <t>JOB-0004</t>
        </is>
      </c>
      <c r="B6" s="3" t="n"/>
      <c r="C6" s="3" t="inlineStr">
        <is>
          <t>Coastal Realty Group</t>
        </is>
      </c>
      <c r="D6" s="3" t="inlineStr">
        <is>
          <t>Commercial</t>
        </is>
      </c>
      <c r="E6" s="3" t="inlineStr">
        <is>
          <t>900 Flagler Ave</t>
        </is>
      </c>
      <c r="F6" s="3" t="inlineStr">
        <is>
          <t>New Smyrna Beach</t>
        </is>
      </c>
      <c r="G6" s="3" t="inlineStr">
        <is>
          <t>FL</t>
        </is>
      </c>
      <c r="H6" s="3" t="inlineStr">
        <is>
          <t>32169</t>
        </is>
      </c>
      <c r="K6" s="3" t="inlineStr">
        <is>
          <t>2026-08-24</t>
        </is>
      </c>
      <c r="L6" s="6" t="n"/>
      <c r="M6" s="3" t="inlineStr">
        <is>
          <t>Monday</t>
        </is>
      </c>
      <c r="N6" s="3" t="inlineStr">
        <is>
          <t>10:00</t>
        </is>
      </c>
      <c r="O6" s="3" t="inlineStr">
        <is>
          <t>11:30</t>
        </is>
      </c>
      <c r="P6" s="3" t="inlineStr">
        <is>
          <t>Both</t>
        </is>
      </c>
      <c r="Q6" s="3" t="inlineStr">
        <is>
          <t>Office front windows + entryway pressure wash</t>
        </is>
      </c>
      <c r="R6" s="3" t="inlineStr">
        <is>
          <t>Jake R.</t>
        </is>
      </c>
      <c r="S6" s="3" t="n">
        <v>90</v>
      </c>
      <c r="T6" s="3" t="inlineStr">
        <is>
          <t>min</t>
        </is>
      </c>
      <c r="U6" s="3" t="n"/>
      <c r="V6" s="8" t="inlineStr">
        <is>
          <t>min</t>
        </is>
      </c>
      <c r="W6" s="3" t="n">
        <v>2</v>
      </c>
      <c r="Z6" s="3" t="inlineStr">
        <is>
          <t>Scheduled</t>
        </is>
      </c>
      <c r="AA6" s="3" t="n">
        <v>410</v>
      </c>
      <c r="AB6" s="4" t="n">
        <v>20</v>
      </c>
      <c r="AC6" s="3">
        <f>AA6-AB6</f>
        <v/>
      </c>
      <c r="AD6" s="4">
        <f>(AA6-AB6)*0.07</f>
        <v/>
      </c>
      <c r="AE6" s="4">
        <f>AC6+AD6</f>
        <v/>
      </c>
      <c r="AF6" s="3" t="inlineStr">
        <is>
          <t>Monthly</t>
        </is>
      </c>
      <c r="AI6" s="3" t="inlineStr">
        <is>
          <t>Unpaid</t>
        </is>
      </c>
    </row>
    <row r="7" ht="25" customFormat="1" customHeight="1" s="9">
      <c r="A7" s="3" t="inlineStr">
        <is>
          <t>JOB-0005</t>
        </is>
      </c>
      <c r="B7" s="3" t="n"/>
      <c r="C7" s="3" t="inlineStr">
        <is>
          <t>Jennifer Wu</t>
        </is>
      </c>
      <c r="D7" s="3" t="inlineStr">
        <is>
          <t>Residential</t>
        </is>
      </c>
      <c r="E7" s="3" t="inlineStr">
        <is>
          <t>12 Riverside Dr</t>
        </is>
      </c>
      <c r="F7" s="3" t="inlineStr">
        <is>
          <t>Edgewater</t>
        </is>
      </c>
      <c r="G7" s="3" t="inlineStr">
        <is>
          <t>FL</t>
        </is>
      </c>
      <c r="H7" s="3" t="inlineStr">
        <is>
          <t>32132</t>
        </is>
      </c>
      <c r="K7" s="3" t="inlineStr">
        <is>
          <t>2026-08-24</t>
        </is>
      </c>
      <c r="L7" s="6" t="n"/>
      <c r="M7" s="3" t="inlineStr">
        <is>
          <t>Monday</t>
        </is>
      </c>
      <c r="N7" s="3" t="inlineStr">
        <is>
          <t>13:30</t>
        </is>
      </c>
      <c r="O7" s="3" t="inlineStr">
        <is>
          <t>14:15</t>
        </is>
      </c>
      <c r="P7" s="3" t="inlineStr">
        <is>
          <t>Window</t>
        </is>
      </c>
      <c r="Q7" s="3" t="inlineStr">
        <is>
          <t>Lanai screen windows + sliding glass door</t>
        </is>
      </c>
      <c r="R7" s="3" t="inlineStr">
        <is>
          <t>Sara T.</t>
        </is>
      </c>
      <c r="S7" s="3" t="n">
        <v>45</v>
      </c>
      <c r="T7" s="3" t="inlineStr">
        <is>
          <t>min</t>
        </is>
      </c>
      <c r="U7" s="3" t="n"/>
      <c r="V7" s="8" t="inlineStr">
        <is>
          <t>min</t>
        </is>
      </c>
      <c r="W7" s="3" t="n">
        <v>1</v>
      </c>
      <c r="Z7" s="3" t="inlineStr">
        <is>
          <t>Scheduled</t>
        </is>
      </c>
      <c r="AA7" s="3" t="n">
        <v>140</v>
      </c>
      <c r="AB7" s="4" t="n">
        <v>0</v>
      </c>
      <c r="AC7" s="3">
        <f>AA7-AB7</f>
        <v/>
      </c>
      <c r="AD7" s="4">
        <f>(AA7-AB7)*0.07</f>
        <v/>
      </c>
      <c r="AE7" s="4">
        <f>AC7+AD7</f>
        <v/>
      </c>
      <c r="AF7" s="3" t="inlineStr">
        <is>
          <t>One-time</t>
        </is>
      </c>
      <c r="AI7" s="3" t="inlineStr">
        <is>
          <t>Unpaid</t>
        </is>
      </c>
    </row>
    <row r="8" customFormat="1" s="9">
      <c r="A8" s="3" t="inlineStr">
        <is>
          <t>JOB-0006</t>
        </is>
      </c>
      <c r="B8" s="3" t="n"/>
      <c r="C8" s="9" t="inlineStr">
        <is>
          <t>Palm Grove Apartments</t>
        </is>
      </c>
      <c r="D8" s="9" t="inlineStr">
        <is>
          <t>Commercial</t>
        </is>
      </c>
      <c r="E8" s="9" t="inlineStr">
        <is>
          <t>2200 State Road 44</t>
        </is>
      </c>
      <c r="F8" s="9" t="inlineStr">
        <is>
          <t>New Smyrna Beach</t>
        </is>
      </c>
      <c r="G8" s="9" t="inlineStr">
        <is>
          <t>FL</t>
        </is>
      </c>
      <c r="H8" s="9" t="inlineStr">
        <is>
          <t>32168</t>
        </is>
      </c>
      <c r="K8" s="9" t="inlineStr">
        <is>
          <t>2026-08-25</t>
        </is>
      </c>
      <c r="L8" s="6" t="n"/>
      <c r="M8" s="9" t="inlineStr">
        <is>
          <t>Tuesday</t>
        </is>
      </c>
      <c r="N8" s="9" t="inlineStr">
        <is>
          <t>08:00</t>
        </is>
      </c>
      <c r="O8" s="9" t="inlineStr">
        <is>
          <t>10:00</t>
        </is>
      </c>
      <c r="P8" s="9" t="inlineStr">
        <is>
          <t>Pressure</t>
        </is>
      </c>
      <c r="Q8" s="9" t="inlineStr">
        <is>
          <t>Breezeway + stairwell pressure wash, building C</t>
        </is>
      </c>
      <c r="R8" s="9" t="inlineStr">
        <is>
          <t>Mike C.</t>
        </is>
      </c>
      <c r="S8" s="3" t="n">
        <v>2</v>
      </c>
      <c r="T8" s="9" t="inlineStr">
        <is>
          <t>hour</t>
        </is>
      </c>
      <c r="U8" s="3" t="n"/>
      <c r="V8" s="9" t="inlineStr">
        <is>
          <t>hour</t>
        </is>
      </c>
      <c r="W8" s="3" t="n">
        <v>1</v>
      </c>
      <c r="Z8" s="9" t="inlineStr">
        <is>
          <t>Scheduled</t>
        </is>
      </c>
      <c r="AA8" s="9" t="n">
        <v>480</v>
      </c>
      <c r="AB8" s="9" t="n">
        <v>0</v>
      </c>
      <c r="AC8" s="3">
        <f>AA8-AB8</f>
        <v/>
      </c>
      <c r="AD8" s="4">
        <f>(AA8-AB8)*0.07</f>
        <v/>
      </c>
      <c r="AE8" s="4">
        <f>AC8+AD8</f>
        <v/>
      </c>
      <c r="AF8" s="9" t="inlineStr">
        <is>
          <t>Quarterly</t>
        </is>
      </c>
      <c r="AI8" s="9" t="inlineStr">
        <is>
          <t>Unpaid</t>
        </is>
      </c>
    </row>
    <row r="9" customFormat="1" s="9">
      <c r="A9" s="3" t="inlineStr">
        <is>
          <t>JOB-0007</t>
        </is>
      </c>
      <c r="B9" s="3" t="n"/>
      <c r="C9" s="9" t="inlineStr">
        <is>
          <t>Carlos Mendez</t>
        </is>
      </c>
      <c r="D9" s="9" t="inlineStr">
        <is>
          <t>Residential</t>
        </is>
      </c>
      <c r="E9" s="9" t="inlineStr">
        <is>
          <t>88 Turtle Mound Rd</t>
        </is>
      </c>
      <c r="F9" s="9" t="inlineStr">
        <is>
          <t>Oak Hill</t>
        </is>
      </c>
      <c r="G9" s="9" t="inlineStr">
        <is>
          <t>FL</t>
        </is>
      </c>
      <c r="H9" s="9" t="inlineStr">
        <is>
          <t>32759</t>
        </is>
      </c>
      <c r="K9" s="9" t="inlineStr">
        <is>
          <t>2026-08-25</t>
        </is>
      </c>
      <c r="L9" s="6" t="n"/>
      <c r="M9" s="9" t="inlineStr">
        <is>
          <t>Tuesday</t>
        </is>
      </c>
      <c r="N9" s="9" t="inlineStr">
        <is>
          <t>11:00</t>
        </is>
      </c>
      <c r="O9" s="9" t="inlineStr">
        <is>
          <t>12:00</t>
        </is>
      </c>
      <c r="P9" s="9" t="inlineStr">
        <is>
          <t>Window</t>
        </is>
      </c>
      <c r="Q9" s="9" t="inlineStr">
        <is>
          <t>Front + back windows, single story</t>
        </is>
      </c>
      <c r="R9" s="9" t="inlineStr">
        <is>
          <t>Jake R.</t>
        </is>
      </c>
      <c r="S9" s="3" t="n">
        <v>60</v>
      </c>
      <c r="T9" s="9" t="inlineStr">
        <is>
          <t>min</t>
        </is>
      </c>
      <c r="U9" s="3" t="n"/>
      <c r="V9" s="9" t="inlineStr">
        <is>
          <t>min</t>
        </is>
      </c>
      <c r="W9" s="3" t="n">
        <v>1</v>
      </c>
      <c r="Z9" s="9" t="inlineStr">
        <is>
          <t>Scheduled</t>
        </is>
      </c>
      <c r="AA9" s="9" t="n">
        <v>130</v>
      </c>
      <c r="AB9" s="9" t="n">
        <v>0</v>
      </c>
      <c r="AC9" s="3">
        <f>AA9-AB9</f>
        <v/>
      </c>
      <c r="AD9" s="4">
        <f>(AA9-AB9)*0.07</f>
        <v/>
      </c>
      <c r="AE9" s="4">
        <f>AC9+AD9</f>
        <v/>
      </c>
      <c r="AF9" s="9" t="inlineStr">
        <is>
          <t>One-time</t>
        </is>
      </c>
      <c r="AI9" s="9" t="inlineStr">
        <is>
          <t>Unpaid</t>
        </is>
      </c>
    </row>
    <row r="10" customFormat="1" s="9">
      <c r="A10" s="3" t="inlineStr">
        <is>
          <t>JOB-0008</t>
        </is>
      </c>
      <c r="B10" s="3" t="n"/>
      <c r="C10" s="9" t="inlineStr">
        <is>
          <t>Seaside Diner</t>
        </is>
      </c>
      <c r="D10" s="9" t="inlineStr">
        <is>
          <t>Commercial</t>
        </is>
      </c>
      <c r="E10" s="9" t="inlineStr">
        <is>
          <t>315 Flagler Ave</t>
        </is>
      </c>
      <c r="F10" s="9" t="inlineStr">
        <is>
          <t>New Smyrna Beach</t>
        </is>
      </c>
      <c r="G10" s="9" t="inlineStr">
        <is>
          <t>FL</t>
        </is>
      </c>
      <c r="H10" s="9" t="inlineStr">
        <is>
          <t>32169</t>
        </is>
      </c>
      <c r="K10" s="9" t="inlineStr">
        <is>
          <t>2026-08-26</t>
        </is>
      </c>
      <c r="L10" s="6" t="n"/>
      <c r="M10" s="9" t="inlineStr">
        <is>
          <t>Wednesday</t>
        </is>
      </c>
      <c r="N10" s="9" t="inlineStr">
        <is>
          <t>07:00</t>
        </is>
      </c>
      <c r="O10" s="9" t="inlineStr">
        <is>
          <t>08:00</t>
        </is>
      </c>
      <c r="P10" s="9" t="inlineStr">
        <is>
          <t>Window</t>
        </is>
      </c>
      <c r="Q10" s="9" t="inlineStr">
        <is>
          <t>Front windows before opening — early appointment</t>
        </is>
      </c>
      <c r="R10" s="9" t="inlineStr">
        <is>
          <t>Mike C.</t>
        </is>
      </c>
      <c r="S10" s="3" t="n">
        <v>60</v>
      </c>
      <c r="T10" s="9" t="inlineStr">
        <is>
          <t>min</t>
        </is>
      </c>
      <c r="U10" s="3" t="n"/>
      <c r="V10" s="9" t="inlineStr">
        <is>
          <t>min</t>
        </is>
      </c>
      <c r="W10" s="3" t="n">
        <v>1</v>
      </c>
      <c r="Z10" s="9" t="inlineStr">
        <is>
          <t>Complete</t>
        </is>
      </c>
      <c r="AA10" s="9" t="n">
        <v>175</v>
      </c>
      <c r="AB10" s="9" t="n">
        <v>0</v>
      </c>
      <c r="AC10" s="3">
        <f>AA10-AB10</f>
        <v/>
      </c>
      <c r="AD10" s="4">
        <f>(AA10-AB10)*0.07</f>
        <v/>
      </c>
      <c r="AE10" s="4">
        <f>AC10+AD10</f>
        <v/>
      </c>
      <c r="AF10" s="9" t="inlineStr">
        <is>
          <t>Weekly</t>
        </is>
      </c>
      <c r="AG10" s="9" t="inlineStr">
        <is>
          <t>INV-0004</t>
        </is>
      </c>
      <c r="AI10" s="9" t="inlineStr">
        <is>
          <t>Paid</t>
        </is>
      </c>
    </row>
    <row r="11" customFormat="1" s="9">
      <c r="A11" s="3" t="inlineStr">
        <is>
          <t>JOB-0009</t>
        </is>
      </c>
      <c r="B11" s="3" t="n"/>
      <c r="C11" s="9" t="inlineStr">
        <is>
          <t>Amanda Clarke</t>
        </is>
      </c>
      <c r="D11" s="9" t="inlineStr">
        <is>
          <t>Residential</t>
        </is>
      </c>
      <c r="E11" s="9" t="inlineStr">
        <is>
          <t>56 Riverview Ct</t>
        </is>
      </c>
      <c r="F11" s="9" t="inlineStr">
        <is>
          <t>Edgewater</t>
        </is>
      </c>
      <c r="G11" s="9" t="inlineStr">
        <is>
          <t>FL</t>
        </is>
      </c>
      <c r="H11" s="9" t="inlineStr">
        <is>
          <t>32132</t>
        </is>
      </c>
      <c r="K11" s="9" t="inlineStr">
        <is>
          <t>2026-08-26</t>
        </is>
      </c>
      <c r="L11" s="6" t="n"/>
      <c r="M11" s="9" t="inlineStr">
        <is>
          <t>Wednesday</t>
        </is>
      </c>
      <c r="N11" s="9" t="inlineStr">
        <is>
          <t>10:30</t>
        </is>
      </c>
      <c r="O11" s="9" t="inlineStr">
        <is>
          <t>11:15</t>
        </is>
      </c>
      <c r="P11" s="9" t="inlineStr">
        <is>
          <t>Window</t>
        </is>
      </c>
      <c r="Q11" s="9" t="inlineStr">
        <is>
          <t>Bay window + 6 standard windows</t>
        </is>
      </c>
      <c r="R11" s="9" t="inlineStr">
        <is>
          <t>Sara T.</t>
        </is>
      </c>
      <c r="S11" s="3" t="n">
        <v>45</v>
      </c>
      <c r="T11" s="9" t="inlineStr">
        <is>
          <t>min</t>
        </is>
      </c>
      <c r="U11" s="3" t="n"/>
      <c r="V11" s="9" t="inlineStr">
        <is>
          <t>min</t>
        </is>
      </c>
      <c r="W11" s="3" t="n">
        <v>1</v>
      </c>
      <c r="Z11" s="9" t="inlineStr">
        <is>
          <t>Scheduled</t>
        </is>
      </c>
      <c r="AA11" s="9" t="n">
        <v>150</v>
      </c>
      <c r="AB11" s="9" t="n">
        <v>0</v>
      </c>
      <c r="AC11" s="3">
        <f>AA11-AB11</f>
        <v/>
      </c>
      <c r="AD11" s="4">
        <f>(AA11-AB11)*0.07</f>
        <v/>
      </c>
      <c r="AE11" s="4">
        <f>AC11+AD11</f>
        <v/>
      </c>
      <c r="AF11" s="9" t="inlineStr">
        <is>
          <t>One-time</t>
        </is>
      </c>
      <c r="AI11" s="9" t="inlineStr">
        <is>
          <t>Unpaid</t>
        </is>
      </c>
    </row>
    <row r="12" customFormat="1" s="9">
      <c r="A12" s="3" t="inlineStr">
        <is>
          <t>JOB-0010</t>
        </is>
      </c>
      <c r="B12" s="3" t="n"/>
      <c r="C12" s="9" t="inlineStr">
        <is>
          <t>David Kim</t>
        </is>
      </c>
      <c r="D12" s="9" t="inlineStr">
        <is>
          <t>Residential</t>
        </is>
      </c>
      <c r="E12" s="9" t="inlineStr">
        <is>
          <t>703 Peninsula Ave</t>
        </is>
      </c>
      <c r="F12" s="9" t="inlineStr">
        <is>
          <t>New Smyrna Beach</t>
        </is>
      </c>
      <c r="G12" s="9" t="inlineStr">
        <is>
          <t>FL</t>
        </is>
      </c>
      <c r="H12" s="9" t="inlineStr">
        <is>
          <t>32169</t>
        </is>
      </c>
      <c r="K12" s="9" t="inlineStr">
        <is>
          <t>2026-08-27</t>
        </is>
      </c>
      <c r="L12" s="6" t="n"/>
      <c r="M12" s="9" t="inlineStr">
        <is>
          <t>Thursday</t>
        </is>
      </c>
      <c r="N12" s="9" t="inlineStr">
        <is>
          <t>09:00</t>
        </is>
      </c>
      <c r="O12" s="9" t="inlineStr">
        <is>
          <t>09:45</t>
        </is>
      </c>
      <c r="P12" s="9" t="inlineStr">
        <is>
          <t>Window</t>
        </is>
      </c>
      <c r="Q12" s="9" t="inlineStr">
        <is>
          <t>Second-story windows, needs extension pole</t>
        </is>
      </c>
      <c r="R12" s="9" t="inlineStr">
        <is>
          <t>Jake R.</t>
        </is>
      </c>
      <c r="S12" s="3" t="n">
        <v>45</v>
      </c>
      <c r="T12" s="9" t="inlineStr">
        <is>
          <t>min</t>
        </is>
      </c>
      <c r="U12" s="3" t="n"/>
      <c r="V12" s="9" t="inlineStr">
        <is>
          <t>min</t>
        </is>
      </c>
      <c r="W12" s="3" t="n">
        <v>1</v>
      </c>
      <c r="Z12" s="9" t="inlineStr">
        <is>
          <t>Scheduled</t>
        </is>
      </c>
      <c r="AA12" s="9" t="n">
        <v>165</v>
      </c>
      <c r="AB12" s="9" t="n">
        <v>0</v>
      </c>
      <c r="AC12" s="3">
        <f>AA12-AB12</f>
        <v/>
      </c>
      <c r="AD12" s="4">
        <f>(AA12-AB12)*0.07</f>
        <v/>
      </c>
      <c r="AE12" s="4">
        <f>AC12+AD12</f>
        <v/>
      </c>
      <c r="AF12" s="9" t="inlineStr">
        <is>
          <t>One-time</t>
        </is>
      </c>
      <c r="AI12" s="9" t="inlineStr">
        <is>
          <t>Unpaid</t>
        </is>
      </c>
    </row>
    <row r="13" customFormat="1" s="9">
      <c r="A13" s="3" t="inlineStr">
        <is>
          <t>JOB-0011</t>
        </is>
      </c>
      <c r="B13" s="3" t="n"/>
      <c r="C13" s="9" t="inlineStr">
        <is>
          <t>Lighthouse Point HOA</t>
        </is>
      </c>
      <c r="D13" s="9" t="inlineStr">
        <is>
          <t>Commercial</t>
        </is>
      </c>
      <c r="E13" s="9" t="inlineStr">
        <is>
          <t>1 Lighthouse Rd</t>
        </is>
      </c>
      <c r="F13" s="9" t="inlineStr">
        <is>
          <t>New Smyrna Beach</t>
        </is>
      </c>
      <c r="G13" s="9" t="inlineStr">
        <is>
          <t>FL</t>
        </is>
      </c>
      <c r="H13" s="9" t="inlineStr">
        <is>
          <t>32169</t>
        </is>
      </c>
      <c r="K13" s="9" t="inlineStr">
        <is>
          <t>2026-08-27</t>
        </is>
      </c>
      <c r="L13" s="6" t="inlineStr">
        <is>
          <t>2026-08-28</t>
        </is>
      </c>
      <c r="M13" s="9" t="inlineStr">
        <is>
          <t>Thursday</t>
        </is>
      </c>
      <c r="N13" s="9" t="inlineStr">
        <is>
          <t>08:00</t>
        </is>
      </c>
      <c r="O13" s="9" t="inlineStr">
        <is>
          <t>16:00</t>
        </is>
      </c>
      <c r="P13" s="9" t="inlineStr">
        <is>
          <t>Both</t>
        </is>
      </c>
      <c r="Q13" s="9" t="inlineStr">
        <is>
          <t>Full complex — all unit exterior windows + common area pressure wash, 2-day job</t>
        </is>
      </c>
      <c r="R13" s="9" t="inlineStr">
        <is>
          <t>Mike C.</t>
        </is>
      </c>
      <c r="S13" s="3" t="n">
        <v>2</v>
      </c>
      <c r="T13" s="9" t="inlineStr">
        <is>
          <t>hour</t>
        </is>
      </c>
      <c r="U13" s="3" t="n"/>
      <c r="V13" s="9" t="inlineStr">
        <is>
          <t>hour</t>
        </is>
      </c>
      <c r="W13" s="3" t="n">
        <v>1</v>
      </c>
      <c r="Z13" s="9" t="inlineStr">
        <is>
          <t>Scheduled</t>
        </is>
      </c>
      <c r="AA13" s="9" t="n">
        <v>2400</v>
      </c>
      <c r="AB13" s="9" t="n">
        <v>100</v>
      </c>
      <c r="AC13" s="3">
        <f>AA13-AB13</f>
        <v/>
      </c>
      <c r="AD13" s="4">
        <f>(AA13-AB13)*0.07</f>
        <v/>
      </c>
      <c r="AE13" s="4">
        <f>AC13+AD13</f>
        <v/>
      </c>
      <c r="AF13" s="9" t="inlineStr">
        <is>
          <t>Quarterly</t>
        </is>
      </c>
      <c r="AI13" s="9" t="inlineStr">
        <is>
          <t>Unpaid</t>
        </is>
      </c>
    </row>
    <row r="14" customFormat="1" s="9">
      <c r="A14" s="3" t="inlineStr">
        <is>
          <t>JOB-0012</t>
        </is>
      </c>
      <c r="B14" s="3" t="n"/>
      <c r="C14" s="9" t="inlineStr">
        <is>
          <t>Bayview Storage</t>
        </is>
      </c>
      <c r="D14" s="9" t="inlineStr">
        <is>
          <t>Commercial</t>
        </is>
      </c>
      <c r="E14" s="9" t="inlineStr">
        <is>
          <t>4400 US-1</t>
        </is>
      </c>
      <c r="F14" s="9" t="inlineStr">
        <is>
          <t>Edgewater</t>
        </is>
      </c>
      <c r="G14" s="9" t="inlineStr">
        <is>
          <t>FL</t>
        </is>
      </c>
      <c r="H14" s="9" t="inlineStr">
        <is>
          <t>32132</t>
        </is>
      </c>
      <c r="K14" s="9" t="inlineStr">
        <is>
          <t>2026-08-29</t>
        </is>
      </c>
      <c r="L14" s="6" t="n"/>
      <c r="M14" s="9" t="inlineStr">
        <is>
          <t>Saturday</t>
        </is>
      </c>
      <c r="N14" s="9" t="inlineStr">
        <is>
          <t>08:00</t>
        </is>
      </c>
      <c r="O14" s="9" t="inlineStr">
        <is>
          <t>09:00</t>
        </is>
      </c>
      <c r="P14" s="9" t="inlineStr">
        <is>
          <t>Pressure</t>
        </is>
      </c>
      <c r="Q14" s="9" t="inlineStr">
        <is>
          <t>Office entrance + loading dock pressure wash</t>
        </is>
      </c>
      <c r="R14" s="9" t="inlineStr">
        <is>
          <t>Jake R.</t>
        </is>
      </c>
      <c r="S14" s="3" t="n">
        <v>60</v>
      </c>
      <c r="T14" s="9" t="inlineStr">
        <is>
          <t>min</t>
        </is>
      </c>
      <c r="U14" s="3" t="n"/>
      <c r="V14" s="9" t="inlineStr">
        <is>
          <t>min</t>
        </is>
      </c>
      <c r="W14" s="3" t="n">
        <v>1</v>
      </c>
      <c r="Z14" s="9" t="inlineStr">
        <is>
          <t>Scheduled</t>
        </is>
      </c>
      <c r="AA14" s="9" t="n">
        <v>210</v>
      </c>
      <c r="AB14" s="9" t="n">
        <v>0</v>
      </c>
      <c r="AC14" s="3">
        <f>AA14-AB14</f>
        <v/>
      </c>
      <c r="AD14" s="4">
        <f>(AA14-AB14)*0.07</f>
        <v/>
      </c>
      <c r="AE14" s="4">
        <f>AC14+AD14</f>
        <v/>
      </c>
      <c r="AF14" s="9" t="inlineStr">
        <is>
          <t>Monthly</t>
        </is>
      </c>
      <c r="AI14" s="9" t="inlineStr">
        <is>
          <t>Unpaid</t>
        </is>
      </c>
    </row>
    <row r="15" customFormat="1" s="9">
      <c r="A15" s="3" t="inlineStr">
        <is>
          <t>JOB-0013</t>
        </is>
      </c>
      <c r="B15" s="3" t="n"/>
      <c r="C15" s="9" t="inlineStr">
        <is>
          <t>Patricia Nguyen</t>
        </is>
      </c>
      <c r="D15" s="9" t="inlineStr">
        <is>
          <t>Residential</t>
        </is>
      </c>
      <c r="E15" s="9" t="inlineStr">
        <is>
          <t>22 Sunset Dr</t>
        </is>
      </c>
      <c r="F15" s="9" t="inlineStr">
        <is>
          <t>Oak Hill</t>
        </is>
      </c>
      <c r="G15" s="9" t="inlineStr">
        <is>
          <t>FL</t>
        </is>
      </c>
      <c r="H15" s="9" t="inlineStr">
        <is>
          <t>32759</t>
        </is>
      </c>
      <c r="K15" s="9" t="inlineStr">
        <is>
          <t>2026-08-29</t>
        </is>
      </c>
      <c r="L15" s="6" t="n"/>
      <c r="M15" s="9" t="inlineStr">
        <is>
          <t>Saturday</t>
        </is>
      </c>
      <c r="N15" s="9" t="inlineStr">
        <is>
          <t>10:30</t>
        </is>
      </c>
      <c r="O15" s="9" t="inlineStr">
        <is>
          <t>11:15</t>
        </is>
      </c>
      <c r="P15" s="9" t="inlineStr">
        <is>
          <t>Window</t>
        </is>
      </c>
      <c r="Q15" s="9" t="inlineStr">
        <is>
          <t>Front-facing windows only, gated community</t>
        </is>
      </c>
      <c r="R15" s="9" t="inlineStr">
        <is>
          <t>Jake R.</t>
        </is>
      </c>
      <c r="S15" s="3" t="n">
        <v>45</v>
      </c>
      <c r="T15" s="9" t="inlineStr">
        <is>
          <t>min</t>
        </is>
      </c>
      <c r="U15" s="3" t="n"/>
      <c r="V15" s="9" t="inlineStr">
        <is>
          <t>min</t>
        </is>
      </c>
      <c r="W15" s="3" t="n">
        <v>2</v>
      </c>
      <c r="Z15" s="9" t="inlineStr">
        <is>
          <t>Scheduled</t>
        </is>
      </c>
      <c r="AA15" s="9" t="n">
        <v>125</v>
      </c>
      <c r="AB15" s="9" t="n">
        <v>0</v>
      </c>
      <c r="AC15" s="3">
        <f>AA15-AB15</f>
        <v/>
      </c>
      <c r="AD15" s="4">
        <f>(AA15-AB15)*0.07</f>
        <v/>
      </c>
      <c r="AE15" s="4">
        <f>AC15+AD15</f>
        <v/>
      </c>
      <c r="AF15" s="9" t="inlineStr">
        <is>
          <t>One-time</t>
        </is>
      </c>
      <c r="AI15" s="9" t="inlineStr">
        <is>
          <t>Unpaid</t>
        </is>
      </c>
    </row>
    <row r="16" customFormat="1" s="9">
      <c r="A16" s="3" t="inlineStr">
        <is>
          <t>JOB-0014</t>
        </is>
      </c>
      <c r="B16" s="3" t="n"/>
      <c r="C16" s="9" t="inlineStr">
        <is>
          <t>Tom Bradley</t>
        </is>
      </c>
      <c r="D16" s="9" t="inlineStr">
        <is>
          <t>Residential</t>
        </is>
      </c>
      <c r="E16" s="9" t="inlineStr">
        <is>
          <t>145 Riverside Dr</t>
        </is>
      </c>
      <c r="F16" s="9" t="inlineStr">
        <is>
          <t>Edgewater</t>
        </is>
      </c>
      <c r="G16" s="9" t="inlineStr">
        <is>
          <t>FL</t>
        </is>
      </c>
      <c r="H16" s="9" t="inlineStr">
        <is>
          <t>32132</t>
        </is>
      </c>
      <c r="K16" s="9" t="inlineStr">
        <is>
          <t>2026-08-31</t>
        </is>
      </c>
      <c r="L16" s="6" t="n"/>
      <c r="M16" s="9" t="inlineStr">
        <is>
          <t>Monday</t>
        </is>
      </c>
      <c r="N16" s="9" t="inlineStr">
        <is>
          <t>08:30</t>
        </is>
      </c>
      <c r="O16" s="9" t="inlineStr">
        <is>
          <t>09:15</t>
        </is>
      </c>
      <c r="P16" s="9" t="inlineStr">
        <is>
          <t>Window</t>
        </is>
      </c>
      <c r="Q16" s="9" t="inlineStr">
        <is>
          <t>Standard 8-window package</t>
        </is>
      </c>
      <c r="R16" s="9" t="inlineStr">
        <is>
          <t>Sara T.</t>
        </is>
      </c>
      <c r="S16" s="3" t="n">
        <v>45</v>
      </c>
      <c r="T16" s="9" t="inlineStr">
        <is>
          <t>min</t>
        </is>
      </c>
      <c r="U16" s="3" t="n"/>
      <c r="V16" s="9" t="inlineStr">
        <is>
          <t>min</t>
        </is>
      </c>
      <c r="W16" s="3" t="n">
        <v>1</v>
      </c>
      <c r="Z16" s="9" t="inlineStr">
        <is>
          <t>Scheduled</t>
        </is>
      </c>
      <c r="AA16" s="9" t="n">
        <v>140</v>
      </c>
      <c r="AB16" s="9" t="n">
        <v>0</v>
      </c>
      <c r="AC16" s="3">
        <f>AA16-AB16</f>
        <v/>
      </c>
      <c r="AD16" s="4">
        <f>(AA16-AB16)*0.07</f>
        <v/>
      </c>
      <c r="AE16" s="4">
        <f>AC16+AD16</f>
        <v/>
      </c>
      <c r="AF16" s="9" t="inlineStr">
        <is>
          <t>One-time</t>
        </is>
      </c>
      <c r="AI16" s="9" t="inlineStr">
        <is>
          <t>Unpaid</t>
        </is>
      </c>
    </row>
    <row r="17" customFormat="1" s="9">
      <c r="A17" s="3" t="inlineStr">
        <is>
          <t>JOB-0015</t>
        </is>
      </c>
      <c r="B17" s="3" t="n"/>
      <c r="C17" s="9" t="inlineStr">
        <is>
          <t>Anchor Bar &amp; Grill</t>
        </is>
      </c>
      <c r="D17" s="9" t="inlineStr">
        <is>
          <t>Commercial</t>
        </is>
      </c>
      <c r="E17" s="9" t="inlineStr">
        <is>
          <t>210 Canal St</t>
        </is>
      </c>
      <c r="F17" s="9" t="inlineStr">
        <is>
          <t>New Smyrna Beach</t>
        </is>
      </c>
      <c r="G17" s="9" t="inlineStr">
        <is>
          <t>FL</t>
        </is>
      </c>
      <c r="H17" s="9" t="inlineStr">
        <is>
          <t>32168</t>
        </is>
      </c>
      <c r="K17" s="9" t="inlineStr">
        <is>
          <t>2026-08-31</t>
        </is>
      </c>
      <c r="L17" s="6" t="n"/>
      <c r="M17" s="9" t="inlineStr">
        <is>
          <t>Monday</t>
        </is>
      </c>
      <c r="N17" s="9" t="inlineStr">
        <is>
          <t>11:00</t>
        </is>
      </c>
      <c r="O17" s="9" t="inlineStr">
        <is>
          <t>12:30</t>
        </is>
      </c>
      <c r="P17" s="9" t="inlineStr">
        <is>
          <t>Other</t>
        </is>
      </c>
      <c r="Q17" s="9" t="inlineStr">
        <is>
          <t>Patio umbrella + outdoor seating deep clean (non-window job)</t>
        </is>
      </c>
      <c r="R17" s="9" t="inlineStr">
        <is>
          <t>Mike C.</t>
        </is>
      </c>
      <c r="S17" s="3" t="n">
        <v>90</v>
      </c>
      <c r="T17" s="9" t="inlineStr">
        <is>
          <t>min</t>
        </is>
      </c>
      <c r="U17" s="3" t="n"/>
      <c r="V17" s="9" t="inlineStr">
        <is>
          <t>min</t>
        </is>
      </c>
      <c r="W17" s="3" t="n">
        <v>1</v>
      </c>
      <c r="Z17" s="9" t="inlineStr">
        <is>
          <t>Scheduled</t>
        </is>
      </c>
      <c r="AA17" s="9" t="n">
        <v>260</v>
      </c>
      <c r="AB17" s="9" t="n">
        <v>0</v>
      </c>
      <c r="AC17" s="3">
        <f>AA17-AB17</f>
        <v/>
      </c>
      <c r="AD17" s="4">
        <f>(AA17-AB17)*0.07</f>
        <v/>
      </c>
      <c r="AE17" s="4">
        <f>AC17+AD17</f>
        <v/>
      </c>
      <c r="AF17" s="9" t="inlineStr">
        <is>
          <t>One-time</t>
        </is>
      </c>
      <c r="AI17" s="9" t="inlineStr">
        <is>
          <t>Unpaid</t>
        </is>
      </c>
    </row>
    <row r="18" customFormat="1" s="9">
      <c r="A18" s="3" t="inlineStr">
        <is>
          <t>JOB-0016</t>
        </is>
      </c>
      <c r="B18" s="3" t="n"/>
      <c r="C18" s="9" t="inlineStr">
        <is>
          <t>Rebecca Foster</t>
        </is>
      </c>
      <c r="D18" s="9" t="inlineStr">
        <is>
          <t>Residential</t>
        </is>
      </c>
      <c r="E18" s="9" t="inlineStr">
        <is>
          <t>67 Peninsula Ave</t>
        </is>
      </c>
      <c r="F18" s="9" t="inlineStr">
        <is>
          <t>New Smyrna Beach</t>
        </is>
      </c>
      <c r="G18" s="9" t="inlineStr">
        <is>
          <t>FL</t>
        </is>
      </c>
      <c r="H18" s="9" t="inlineStr">
        <is>
          <t>32169</t>
        </is>
      </c>
      <c r="K18" s="9" t="inlineStr">
        <is>
          <t>2026-09-01</t>
        </is>
      </c>
      <c r="L18" s="6" t="n"/>
      <c r="M18" s="9" t="inlineStr">
        <is>
          <t>Tuesday</t>
        </is>
      </c>
      <c r="N18" s="9" t="inlineStr">
        <is>
          <t>09:00</t>
        </is>
      </c>
      <c r="O18" s="9" t="inlineStr">
        <is>
          <t>09:45</t>
        </is>
      </c>
      <c r="P18" s="9" t="inlineStr">
        <is>
          <t>Window</t>
        </is>
      </c>
      <c r="Q18" s="9" t="inlineStr">
        <is>
          <t>Kitchen + living room windows, ladder access</t>
        </is>
      </c>
      <c r="R18" s="9" t="inlineStr">
        <is>
          <t>Jake R.</t>
        </is>
      </c>
      <c r="S18" s="3" t="n">
        <v>45</v>
      </c>
      <c r="T18" s="9" t="inlineStr">
        <is>
          <t>min</t>
        </is>
      </c>
      <c r="U18" s="3" t="n"/>
      <c r="V18" s="9" t="inlineStr">
        <is>
          <t>min</t>
        </is>
      </c>
      <c r="W18" s="3" t="n">
        <v>1</v>
      </c>
      <c r="Z18" s="9" t="inlineStr">
        <is>
          <t>Scheduled</t>
        </is>
      </c>
      <c r="AA18" s="9" t="n">
        <v>110</v>
      </c>
      <c r="AB18" s="9" t="n">
        <v>0</v>
      </c>
      <c r="AC18" s="3">
        <f>AA18-AB18</f>
        <v/>
      </c>
      <c r="AD18" s="4">
        <f>(AA18-AB18)*0.07</f>
        <v/>
      </c>
      <c r="AE18" s="4">
        <f>AC18+AD18</f>
        <v/>
      </c>
      <c r="AF18" s="9" t="inlineStr">
        <is>
          <t>One-time</t>
        </is>
      </c>
      <c r="AI18" s="9" t="inlineStr">
        <is>
          <t>Unpaid</t>
        </is>
      </c>
    </row>
    <row r="19" customFormat="1" s="9">
      <c r="A19" s="3" t="inlineStr">
        <is>
          <t>JOB-0017</t>
        </is>
      </c>
      <c r="B19" s="3" t="n"/>
      <c r="C19" s="9" t="inlineStr">
        <is>
          <t>Golden Gulls Resort</t>
        </is>
      </c>
      <c r="D19" s="9" t="inlineStr">
        <is>
          <t>Commercial</t>
        </is>
      </c>
      <c r="E19" s="9" t="inlineStr">
        <is>
          <t>800 S Atlantic Ave</t>
        </is>
      </c>
      <c r="F19" s="9" t="inlineStr">
        <is>
          <t>New Smyrna Beach</t>
        </is>
      </c>
      <c r="G19" s="9" t="inlineStr">
        <is>
          <t>FL</t>
        </is>
      </c>
      <c r="H19" s="9" t="inlineStr">
        <is>
          <t>32169</t>
        </is>
      </c>
      <c r="K19" s="9" t="inlineStr">
        <is>
          <t>2026-09-01</t>
        </is>
      </c>
      <c r="L19" s="6" t="inlineStr">
        <is>
          <t>2026-09-03</t>
        </is>
      </c>
      <c r="M19" s="9" t="inlineStr">
        <is>
          <t>Tuesday</t>
        </is>
      </c>
      <c r="N19" s="9" t="inlineStr">
        <is>
          <t>07:00</t>
        </is>
      </c>
      <c r="O19" s="9" t="inlineStr">
        <is>
          <t>15:00</t>
        </is>
      </c>
      <c r="P19" s="9" t="inlineStr">
        <is>
          <t>Both</t>
        </is>
      </c>
      <c r="Q19" s="9" t="inlineStr">
        <is>
          <t>Full oceanfront resort exterior — windows + pressure wash, all 3 buildings, 3-day job</t>
        </is>
      </c>
      <c r="R19" s="9" t="inlineStr">
        <is>
          <t>Mike C. + Jake R.</t>
        </is>
      </c>
      <c r="S19" s="3" t="n">
        <v>8</v>
      </c>
      <c r="T19" s="9" t="inlineStr">
        <is>
          <t>hour</t>
        </is>
      </c>
      <c r="U19" s="3" t="n"/>
      <c r="V19" s="9" t="inlineStr">
        <is>
          <t>hour</t>
        </is>
      </c>
      <c r="W19" s="3" t="n">
        <v>1</v>
      </c>
      <c r="Z19" s="9" t="inlineStr">
        <is>
          <t>Scheduled</t>
        </is>
      </c>
      <c r="AA19" s="9" t="n">
        <v>6800</v>
      </c>
      <c r="AB19" s="9" t="n">
        <v>300</v>
      </c>
      <c r="AC19" s="3">
        <f>AA19-AB19</f>
        <v/>
      </c>
      <c r="AD19" s="4">
        <f>(AA19-AB19)*0.07</f>
        <v/>
      </c>
      <c r="AE19" s="4">
        <f>AC19+AD19</f>
        <v/>
      </c>
      <c r="AF19" s="9" t="inlineStr">
        <is>
          <t>Quarterly</t>
        </is>
      </c>
      <c r="AI19" s="9" t="inlineStr">
        <is>
          <t>Unpaid</t>
        </is>
      </c>
    </row>
    <row r="20" customFormat="1" s="9">
      <c r="A20" s="3" t="inlineStr">
        <is>
          <t>JOB-0018</t>
        </is>
      </c>
      <c r="B20" s="3" t="n"/>
      <c r="C20" s="9" t="inlineStr">
        <is>
          <t>Oceanfront Vacation Rentals</t>
        </is>
      </c>
      <c r="D20" s="9" t="inlineStr">
        <is>
          <t>Commercial</t>
        </is>
      </c>
      <c r="E20" s="9" t="inlineStr">
        <is>
          <t>1200 S Atlantic Ave</t>
        </is>
      </c>
      <c r="F20" s="9" t="inlineStr">
        <is>
          <t>New Smyrna Beach</t>
        </is>
      </c>
      <c r="G20" s="9" t="inlineStr">
        <is>
          <t>FL</t>
        </is>
      </c>
      <c r="H20" s="9" t="inlineStr">
        <is>
          <t>32169</t>
        </is>
      </c>
      <c r="K20" s="9" t="inlineStr">
        <is>
          <t>2026-09-03</t>
        </is>
      </c>
      <c r="L20" s="6" t="n"/>
      <c r="M20" s="9" t="inlineStr">
        <is>
          <t>Thursday</t>
        </is>
      </c>
      <c r="N20" s="9" t="inlineStr">
        <is>
          <t>16:30</t>
        </is>
      </c>
      <c r="O20" s="9" t="inlineStr">
        <is>
          <t>17:15</t>
        </is>
      </c>
      <c r="P20" s="9" t="inlineStr">
        <is>
          <t>Window</t>
        </is>
      </c>
      <c r="Q20" s="9" t="inlineStr">
        <is>
          <t>Turnover cleaning between guests — unit 4B</t>
        </is>
      </c>
      <c r="R20" s="9" t="inlineStr">
        <is>
          <t>Sara T.</t>
        </is>
      </c>
      <c r="S20" s="3" t="n">
        <v>45</v>
      </c>
      <c r="T20" s="9" t="inlineStr">
        <is>
          <t>min</t>
        </is>
      </c>
      <c r="U20" s="3" t="n"/>
      <c r="V20" s="9" t="inlineStr">
        <is>
          <t>min</t>
        </is>
      </c>
      <c r="W20" s="3" t="n">
        <v>1</v>
      </c>
      <c r="Z20" s="9" t="inlineStr">
        <is>
          <t>Scheduled</t>
        </is>
      </c>
      <c r="AA20" s="9" t="n">
        <v>95</v>
      </c>
      <c r="AB20" s="9" t="n">
        <v>0</v>
      </c>
      <c r="AC20" s="3">
        <f>AA20-AB20</f>
        <v/>
      </c>
      <c r="AD20" s="4">
        <f>(AA20-AB20)*0.07</f>
        <v/>
      </c>
      <c r="AE20" s="4">
        <f>AC20+AD20</f>
        <v/>
      </c>
      <c r="AF20" s="9" t="inlineStr">
        <is>
          <t>One-time</t>
        </is>
      </c>
      <c r="AI20" s="9" t="inlineStr">
        <is>
          <t>Unpaid</t>
        </is>
      </c>
    </row>
    <row r="21" customFormat="1" s="9">
      <c r="A21" s="3" t="inlineStr">
        <is>
          <t>JOB-0019</t>
        </is>
      </c>
      <c r="B21" s="3" t="n"/>
      <c r="C21" s="9" t="inlineStr">
        <is>
          <t>Marcus Webb</t>
        </is>
      </c>
      <c r="D21" s="9" t="inlineStr">
        <is>
          <t>Residential</t>
        </is>
      </c>
      <c r="E21" s="9" t="inlineStr">
        <is>
          <t>30 Live Oak St</t>
        </is>
      </c>
      <c r="F21" s="9" t="inlineStr">
        <is>
          <t>Oak Hill</t>
        </is>
      </c>
      <c r="G21" s="9" t="inlineStr">
        <is>
          <t>FL</t>
        </is>
      </c>
      <c r="H21" s="9" t="inlineStr">
        <is>
          <t>32759</t>
        </is>
      </c>
      <c r="K21" s="9" t="inlineStr">
        <is>
          <t>2026-09-04</t>
        </is>
      </c>
      <c r="L21" s="6" t="n"/>
      <c r="M21" s="9" t="inlineStr">
        <is>
          <t>Friday</t>
        </is>
      </c>
      <c r="N21" s="9" t="inlineStr">
        <is>
          <t>08:00</t>
        </is>
      </c>
      <c r="O21" s="9" t="inlineStr">
        <is>
          <t>08:45</t>
        </is>
      </c>
      <c r="P21" s="9" t="inlineStr">
        <is>
          <t>Window</t>
        </is>
      </c>
      <c r="Q21" s="9" t="inlineStr">
        <is>
          <t>Standard residential package</t>
        </is>
      </c>
      <c r="R21" s="9" t="inlineStr">
        <is>
          <t>Jake R.</t>
        </is>
      </c>
      <c r="S21" s="3" t="n">
        <v>45</v>
      </c>
      <c r="T21" s="9" t="inlineStr">
        <is>
          <t>min</t>
        </is>
      </c>
      <c r="U21" s="3" t="n"/>
      <c r="V21" s="9" t="inlineStr">
        <is>
          <t>min</t>
        </is>
      </c>
      <c r="W21" s="3" t="n">
        <v>1</v>
      </c>
      <c r="Z21" s="9" t="inlineStr">
        <is>
          <t>Scheduled</t>
        </is>
      </c>
      <c r="AA21" s="9" t="n">
        <v>120</v>
      </c>
      <c r="AB21" s="9" t="n">
        <v>0</v>
      </c>
      <c r="AC21" s="3">
        <f>AA21-AB21</f>
        <v/>
      </c>
      <c r="AD21" s="4">
        <f>(AA21-AB21)*0.07</f>
        <v/>
      </c>
      <c r="AE21" s="4">
        <f>AC21+AD21</f>
        <v/>
      </c>
      <c r="AF21" s="9" t="inlineStr">
        <is>
          <t>One-time</t>
        </is>
      </c>
      <c r="AI21" s="9" t="inlineStr">
        <is>
          <t>Unpaid</t>
        </is>
      </c>
    </row>
    <row r="22" customFormat="1" s="9">
      <c r="A22" s="3" t="inlineStr">
        <is>
          <t>JOB-0020</t>
        </is>
      </c>
      <c r="B22" s="3" t="n"/>
      <c r="C22" s="9" t="inlineStr">
        <is>
          <t>Cynthia Roth</t>
        </is>
      </c>
      <c r="D22" s="9" t="inlineStr">
        <is>
          <t>Residential</t>
        </is>
      </c>
      <c r="E22" s="9" t="inlineStr">
        <is>
          <t>14 Magnolia Ln</t>
        </is>
      </c>
      <c r="F22" s="9" t="inlineStr">
        <is>
          <t>Edgewater</t>
        </is>
      </c>
      <c r="G22" s="9" t="inlineStr">
        <is>
          <t>FL</t>
        </is>
      </c>
      <c r="H22" s="9" t="inlineStr">
        <is>
          <t>32132</t>
        </is>
      </c>
      <c r="K22" s="9" t="inlineStr">
        <is>
          <t>2026-09-04</t>
        </is>
      </c>
      <c r="L22" s="6" t="n"/>
      <c r="M22" s="9" t="inlineStr">
        <is>
          <t>Friday</t>
        </is>
      </c>
      <c r="N22" s="9" t="inlineStr">
        <is>
          <t>10:00</t>
        </is>
      </c>
      <c r="O22" s="9" t="inlineStr">
        <is>
          <t>10:45</t>
        </is>
      </c>
      <c r="P22" s="9" t="inlineStr">
        <is>
          <t>Pressure</t>
        </is>
      </c>
      <c r="Q22" s="9" t="inlineStr">
        <is>
          <t>Customer cancelled — rescheduling for next month</t>
        </is>
      </c>
      <c r="R22" s="9" t="inlineStr">
        <is>
          <t>Mike C.</t>
        </is>
      </c>
      <c r="S22" s="3" t="n">
        <v>45</v>
      </c>
      <c r="T22" s="9" t="inlineStr">
        <is>
          <t>min</t>
        </is>
      </c>
      <c r="U22" s="3" t="n"/>
      <c r="V22" s="9" t="inlineStr">
        <is>
          <t>min</t>
        </is>
      </c>
      <c r="W22" s="3" t="n">
        <v>1</v>
      </c>
      <c r="Z22" s="9" t="inlineStr">
        <is>
          <t>Cancelled</t>
        </is>
      </c>
      <c r="AA22" s="9" t="n">
        <v>130</v>
      </c>
      <c r="AB22" s="9" t="n">
        <v>0</v>
      </c>
      <c r="AC22" s="3">
        <f>AA22-AB22</f>
        <v/>
      </c>
      <c r="AD22" s="4">
        <f>(AA22-AB22)*0.07</f>
        <v/>
      </c>
      <c r="AE22" s="4">
        <f>AC22+AD22</f>
        <v/>
      </c>
      <c r="AF22" s="9" t="inlineStr">
        <is>
          <t>One-time</t>
        </is>
      </c>
      <c r="AI22" s="9" t="inlineStr">
        <is>
          <t>Unpaid</t>
        </is>
      </c>
    </row>
    <row r="23" customFormat="1" s="9">
      <c r="A23" s="3" t="inlineStr">
        <is>
          <t>JOB-0021</t>
        </is>
      </c>
      <c r="B23" s="3" t="n"/>
      <c r="C23" s="9" t="inlineStr">
        <is>
          <t>Sunrise Dental Office</t>
        </is>
      </c>
      <c r="D23" s="9" t="inlineStr">
        <is>
          <t>Commercial</t>
        </is>
      </c>
      <c r="E23" s="9" t="inlineStr">
        <is>
          <t>450 10th St</t>
        </is>
      </c>
      <c r="F23" s="9" t="inlineStr">
        <is>
          <t>New Smyrna Beach</t>
        </is>
      </c>
      <c r="G23" s="9" t="inlineStr">
        <is>
          <t>FL</t>
        </is>
      </c>
      <c r="H23" s="9" t="inlineStr">
        <is>
          <t>32168</t>
        </is>
      </c>
      <c r="K23" s="9" t="inlineStr">
        <is>
          <t>2026-08-26</t>
        </is>
      </c>
      <c r="L23" s="6" t="n"/>
      <c r="M23" s="9" t="inlineStr">
        <is>
          <t>Wednesday</t>
        </is>
      </c>
      <c r="N23" s="9" t="inlineStr">
        <is>
          <t>07:00</t>
        </is>
      </c>
      <c r="O23" s="9" t="inlineStr">
        <is>
          <t>07:45</t>
        </is>
      </c>
      <c r="P23" s="9" t="inlineStr">
        <is>
          <t>Window</t>
        </is>
      </c>
      <c r="Q23" s="9" t="inlineStr">
        <is>
          <t>Weekly front-of-office window cleaning before patients arrive</t>
        </is>
      </c>
      <c r="R23" s="9" t="inlineStr">
        <is>
          <t>Mike C.</t>
        </is>
      </c>
      <c r="S23" s="3" t="n">
        <v>45</v>
      </c>
      <c r="T23" s="9" t="inlineStr">
        <is>
          <t>min</t>
        </is>
      </c>
      <c r="U23" s="3" t="n"/>
      <c r="V23" s="3" t="n"/>
      <c r="W23" s="3" t="n">
        <v>1</v>
      </c>
      <c r="Z23" s="9" t="inlineStr">
        <is>
          <t>Scheduled</t>
        </is>
      </c>
      <c r="AA23" s="9" t="n">
        <v>95</v>
      </c>
      <c r="AB23" s="9" t="n">
        <v>0</v>
      </c>
      <c r="AC23" s="3">
        <f>AA23-AB23</f>
        <v/>
      </c>
      <c r="AD23" s="4">
        <f>(AA23-AB23)*0.07</f>
        <v/>
      </c>
      <c r="AE23" s="4">
        <f>AC23+AD23</f>
        <v/>
      </c>
      <c r="AF23" s="9" t="inlineStr">
        <is>
          <t>Weekly</t>
        </is>
      </c>
      <c r="AI23" s="9" t="inlineStr">
        <is>
          <t>Unpaid</t>
        </is>
      </c>
    </row>
    <row r="24" customFormat="1" s="9">
      <c r="A24" s="3" t="inlineStr">
        <is>
          <t>JOB-0022</t>
        </is>
      </c>
      <c r="B24" s="3" t="n"/>
      <c r="C24" s="9" t="inlineStr">
        <is>
          <t>Sunrise Dental Office</t>
        </is>
      </c>
      <c r="D24" s="9" t="inlineStr">
        <is>
          <t>Commercial</t>
        </is>
      </c>
      <c r="E24" s="9" t="inlineStr">
        <is>
          <t>450 10th St</t>
        </is>
      </c>
      <c r="F24" s="9" t="inlineStr">
        <is>
          <t>New Smyrna Beach</t>
        </is>
      </c>
      <c r="G24" s="9" t="inlineStr">
        <is>
          <t>FL</t>
        </is>
      </c>
      <c r="H24" s="9" t="inlineStr">
        <is>
          <t>32168</t>
        </is>
      </c>
      <c r="K24" s="9" t="inlineStr">
        <is>
          <t>2026-09-02</t>
        </is>
      </c>
      <c r="L24" s="6" t="n"/>
      <c r="M24" s="9" t="inlineStr">
        <is>
          <t>Wednesday</t>
        </is>
      </c>
      <c r="N24" s="9" t="inlineStr">
        <is>
          <t>07:00</t>
        </is>
      </c>
      <c r="O24" s="9" t="inlineStr">
        <is>
          <t>07:45</t>
        </is>
      </c>
      <c r="P24" s="9" t="inlineStr">
        <is>
          <t>Window</t>
        </is>
      </c>
      <c r="Q24" s="9" t="inlineStr">
        <is>
          <t>Weekly front-of-office window cleaning before patients arrive</t>
        </is>
      </c>
      <c r="R24" s="9" t="inlineStr">
        <is>
          <t>Mike C.</t>
        </is>
      </c>
      <c r="S24" s="3" t="n">
        <v>45</v>
      </c>
      <c r="T24" s="9" t="inlineStr">
        <is>
          <t>min</t>
        </is>
      </c>
      <c r="U24" s="3" t="n"/>
      <c r="V24" s="3" t="n"/>
      <c r="W24" s="3" t="n">
        <v>1</v>
      </c>
      <c r="Z24" s="9" t="inlineStr">
        <is>
          <t>Scheduled</t>
        </is>
      </c>
      <c r="AA24" s="9" t="n">
        <v>95</v>
      </c>
      <c r="AB24" s="9" t="n">
        <v>0</v>
      </c>
      <c r="AC24" s="3">
        <f>AA24-AB24</f>
        <v/>
      </c>
      <c r="AD24" s="4">
        <f>(AA24-AB24)*0.07</f>
        <v/>
      </c>
      <c r="AE24" s="4">
        <f>AC24+AD24</f>
        <v/>
      </c>
      <c r="AF24" s="9" t="inlineStr">
        <is>
          <t>Weekly</t>
        </is>
      </c>
      <c r="AI24" s="9" t="inlineStr">
        <is>
          <t>Unpaid</t>
        </is>
      </c>
    </row>
    <row r="25" customFormat="1" s="9">
      <c r="A25" s="3" t="inlineStr">
        <is>
          <t>JOB-0023</t>
        </is>
      </c>
      <c r="B25" s="3" t="n"/>
      <c r="C25" s="9" t="inlineStr">
        <is>
          <t>Sunrise Dental Office</t>
        </is>
      </c>
      <c r="D25" s="9" t="inlineStr">
        <is>
          <t>Commercial</t>
        </is>
      </c>
      <c r="E25" s="9" t="inlineStr">
        <is>
          <t>450 10th St</t>
        </is>
      </c>
      <c r="F25" s="9" t="inlineStr">
        <is>
          <t>New Smyrna Beach</t>
        </is>
      </c>
      <c r="G25" s="9" t="inlineStr">
        <is>
          <t>FL</t>
        </is>
      </c>
      <c r="H25" s="9" t="inlineStr">
        <is>
          <t>32168</t>
        </is>
      </c>
      <c r="K25" s="9" t="inlineStr">
        <is>
          <t>2026-09-09</t>
        </is>
      </c>
      <c r="L25" s="6" t="n"/>
      <c r="M25" s="9" t="inlineStr">
        <is>
          <t>Wednesday</t>
        </is>
      </c>
      <c r="N25" s="9" t="inlineStr">
        <is>
          <t>07:00</t>
        </is>
      </c>
      <c r="O25" s="9" t="inlineStr">
        <is>
          <t>07:45</t>
        </is>
      </c>
      <c r="P25" s="9" t="inlineStr">
        <is>
          <t>Window</t>
        </is>
      </c>
      <c r="Q25" s="9" t="inlineStr">
        <is>
          <t>Weekly front-of-office window cleaning before patients arrive</t>
        </is>
      </c>
      <c r="R25" s="9" t="inlineStr">
        <is>
          <t>Mike C.</t>
        </is>
      </c>
      <c r="S25" s="3" t="n">
        <v>45</v>
      </c>
      <c r="T25" s="9" t="inlineStr">
        <is>
          <t>min</t>
        </is>
      </c>
      <c r="U25" s="3" t="n"/>
      <c r="V25" s="3" t="n"/>
      <c r="W25" s="3" t="n">
        <v>1</v>
      </c>
      <c r="Z25" s="9" t="inlineStr">
        <is>
          <t>Scheduled</t>
        </is>
      </c>
      <c r="AA25" s="9" t="n">
        <v>95</v>
      </c>
      <c r="AB25" s="9" t="n">
        <v>0</v>
      </c>
      <c r="AC25" s="3">
        <f>AA25-AB25</f>
        <v/>
      </c>
      <c r="AD25" s="4">
        <f>(AA25-AB25)*0.07</f>
        <v/>
      </c>
      <c r="AE25" s="4">
        <f>AC25+AD25</f>
        <v/>
      </c>
      <c r="AF25" s="9" t="inlineStr">
        <is>
          <t>Weekly</t>
        </is>
      </c>
      <c r="AI25" s="9" t="inlineStr">
        <is>
          <t>Unpaid</t>
        </is>
      </c>
    </row>
    <row r="26" customFormat="1" s="9">
      <c r="A26" s="3" t="inlineStr">
        <is>
          <t>JOB-0024</t>
        </is>
      </c>
      <c r="B26" s="3" t="n"/>
      <c r="C26" s="9" t="inlineStr">
        <is>
          <t>Sunrise Dental Office</t>
        </is>
      </c>
      <c r="D26" s="9" t="inlineStr">
        <is>
          <t>Commercial</t>
        </is>
      </c>
      <c r="E26" s="9" t="inlineStr">
        <is>
          <t>450 10th St</t>
        </is>
      </c>
      <c r="F26" s="9" t="inlineStr">
        <is>
          <t>New Smyrna Beach</t>
        </is>
      </c>
      <c r="G26" s="9" t="inlineStr">
        <is>
          <t>FL</t>
        </is>
      </c>
      <c r="H26" s="9" t="inlineStr">
        <is>
          <t>32168</t>
        </is>
      </c>
      <c r="K26" s="9" t="inlineStr">
        <is>
          <t>2026-09-16</t>
        </is>
      </c>
      <c r="L26" s="6" t="n"/>
      <c r="M26" s="9" t="inlineStr">
        <is>
          <t>Wednesday</t>
        </is>
      </c>
      <c r="N26" s="9" t="inlineStr">
        <is>
          <t>07:00</t>
        </is>
      </c>
      <c r="O26" s="9" t="inlineStr">
        <is>
          <t>07:45</t>
        </is>
      </c>
      <c r="P26" s="9" t="inlineStr">
        <is>
          <t>Window</t>
        </is>
      </c>
      <c r="Q26" s="9" t="inlineStr">
        <is>
          <t>Weekly front-of-office window cleaning before patients arrive</t>
        </is>
      </c>
      <c r="R26" s="9" t="inlineStr">
        <is>
          <t>Mike C.</t>
        </is>
      </c>
      <c r="S26" s="3" t="n">
        <v>45</v>
      </c>
      <c r="T26" s="9" t="inlineStr">
        <is>
          <t>min</t>
        </is>
      </c>
      <c r="U26" s="3" t="n"/>
      <c r="V26" s="3" t="n"/>
      <c r="W26" s="3" t="n">
        <v>1</v>
      </c>
      <c r="Z26" s="9" t="inlineStr">
        <is>
          <t>Scheduled</t>
        </is>
      </c>
      <c r="AA26" s="9" t="n">
        <v>95</v>
      </c>
      <c r="AB26" s="9" t="n">
        <v>0</v>
      </c>
      <c r="AC26" s="3">
        <f>AA26-AB26</f>
        <v/>
      </c>
      <c r="AD26" s="4">
        <f>(AA26-AB26)*0.07</f>
        <v/>
      </c>
      <c r="AE26" s="4">
        <f>AC26+AD26</f>
        <v/>
      </c>
      <c r="AF26" s="9" t="inlineStr">
        <is>
          <t>Weekly</t>
        </is>
      </c>
      <c r="AI26" s="9" t="inlineStr">
        <is>
          <t>Unpaid</t>
        </is>
      </c>
    </row>
    <row r="27" customFormat="1" s="9">
      <c r="A27" s="3" t="inlineStr">
        <is>
          <t>JOB-0025</t>
        </is>
      </c>
      <c r="B27" s="3" t="n"/>
      <c r="C27" s="9" t="inlineStr">
        <is>
          <t>Highland Grove HOA</t>
        </is>
      </c>
      <c r="D27" s="9" t="inlineStr">
        <is>
          <t>Commercial</t>
        </is>
      </c>
      <c r="E27" s="9" t="inlineStr">
        <is>
          <t>3300 Grove Cir</t>
        </is>
      </c>
      <c r="F27" s="9" t="inlineStr">
        <is>
          <t>Edgewater</t>
        </is>
      </c>
      <c r="G27" s="9" t="inlineStr">
        <is>
          <t>FL</t>
        </is>
      </c>
      <c r="H27" s="9" t="inlineStr">
        <is>
          <t>32132</t>
        </is>
      </c>
      <c r="K27" s="9" t="inlineStr">
        <is>
          <t>2026-08-28</t>
        </is>
      </c>
      <c r="L27" s="6" t="n"/>
      <c r="M27" s="9" t="inlineStr">
        <is>
          <t>Friday</t>
        </is>
      </c>
      <c r="N27" s="9" t="inlineStr">
        <is>
          <t>09:00</t>
        </is>
      </c>
      <c r="O27" s="9" t="inlineStr">
        <is>
          <t>11:00</t>
        </is>
      </c>
      <c r="P27" s="9" t="inlineStr">
        <is>
          <t>Pressure</t>
        </is>
      </c>
      <c r="Q27" s="9" t="inlineStr">
        <is>
          <t>Biweekly common-area walkway + entrance pressure wash</t>
        </is>
      </c>
      <c r="R27" s="9" t="inlineStr">
        <is>
          <t>Jake R.</t>
        </is>
      </c>
      <c r="S27" s="3" t="n">
        <v>2</v>
      </c>
      <c r="T27" s="9" t="inlineStr">
        <is>
          <t>hour</t>
        </is>
      </c>
      <c r="U27" s="3" t="n"/>
      <c r="V27" s="3" t="n"/>
      <c r="W27" s="3" t="n">
        <v>1</v>
      </c>
      <c r="Z27" s="9" t="inlineStr">
        <is>
          <t>Scheduled</t>
        </is>
      </c>
      <c r="AA27" s="9" t="n">
        <v>380</v>
      </c>
      <c r="AB27" s="9" t="n">
        <v>0</v>
      </c>
      <c r="AC27" s="3">
        <f>AA27-AB27</f>
        <v/>
      </c>
      <c r="AD27" s="4">
        <f>(AA27-AB27)*0.07</f>
        <v/>
      </c>
      <c r="AE27" s="4">
        <f>AC27+AD27</f>
        <v/>
      </c>
      <c r="AF27" s="9" t="inlineStr">
        <is>
          <t>Biweekly</t>
        </is>
      </c>
      <c r="AI27" s="9" t="inlineStr">
        <is>
          <t>Unpaid</t>
        </is>
      </c>
    </row>
    <row r="28" customFormat="1" s="9">
      <c r="A28" s="3" t="inlineStr">
        <is>
          <t>JOB-0026</t>
        </is>
      </c>
      <c r="B28" s="3" t="n"/>
      <c r="C28" s="9" t="inlineStr">
        <is>
          <t>Highland Grove HOA</t>
        </is>
      </c>
      <c r="D28" s="9" t="inlineStr">
        <is>
          <t>Commercial</t>
        </is>
      </c>
      <c r="E28" s="9" t="inlineStr">
        <is>
          <t>3300 Grove Cir</t>
        </is>
      </c>
      <c r="F28" s="9" t="inlineStr">
        <is>
          <t>Edgewater</t>
        </is>
      </c>
      <c r="G28" s="9" t="inlineStr">
        <is>
          <t>FL</t>
        </is>
      </c>
      <c r="H28" s="9" t="inlineStr">
        <is>
          <t>32132</t>
        </is>
      </c>
      <c r="K28" s="9" t="inlineStr">
        <is>
          <t>2026-09-11</t>
        </is>
      </c>
      <c r="L28" s="6" t="n"/>
      <c r="M28" s="9" t="inlineStr">
        <is>
          <t>Friday</t>
        </is>
      </c>
      <c r="N28" s="9" t="inlineStr">
        <is>
          <t>09:00</t>
        </is>
      </c>
      <c r="O28" s="9" t="inlineStr">
        <is>
          <t>11:00</t>
        </is>
      </c>
      <c r="P28" s="9" t="inlineStr">
        <is>
          <t>Pressure</t>
        </is>
      </c>
      <c r="Q28" s="9" t="inlineStr">
        <is>
          <t>Biweekly common-area walkway + entrance pressure wash</t>
        </is>
      </c>
      <c r="R28" s="9" t="inlineStr">
        <is>
          <t>Jake R.</t>
        </is>
      </c>
      <c r="S28" s="3" t="n">
        <v>2</v>
      </c>
      <c r="T28" s="9" t="inlineStr">
        <is>
          <t>hour</t>
        </is>
      </c>
      <c r="U28" s="3" t="n"/>
      <c r="V28" s="3" t="n"/>
      <c r="W28" s="3" t="n">
        <v>1</v>
      </c>
      <c r="Z28" s="9" t="inlineStr">
        <is>
          <t>Scheduled</t>
        </is>
      </c>
      <c r="AA28" s="9" t="n">
        <v>380</v>
      </c>
      <c r="AB28" s="9" t="n">
        <v>0</v>
      </c>
      <c r="AC28" s="3">
        <f>AA28-AB28</f>
        <v/>
      </c>
      <c r="AD28" s="4">
        <f>(AA28-AB28)*0.07</f>
        <v/>
      </c>
      <c r="AE28" s="4">
        <f>AC28+AD28</f>
        <v/>
      </c>
      <c r="AF28" s="9" t="inlineStr">
        <is>
          <t>Biweekly</t>
        </is>
      </c>
      <c r="AI28" s="9" t="inlineStr">
        <is>
          <t>Unpaid</t>
        </is>
      </c>
    </row>
    <row r="29" customFormat="1" s="9">
      <c r="A29" s="3" t="inlineStr">
        <is>
          <t>JOB-0027</t>
        </is>
      </c>
      <c r="B29" s="3" t="n"/>
      <c r="C29" s="9" t="inlineStr">
        <is>
          <t>Highland Grove HOA</t>
        </is>
      </c>
      <c r="D29" s="9" t="inlineStr">
        <is>
          <t>Commercial</t>
        </is>
      </c>
      <c r="E29" s="9" t="inlineStr">
        <is>
          <t>3300 Grove Cir</t>
        </is>
      </c>
      <c r="F29" s="9" t="inlineStr">
        <is>
          <t>Edgewater</t>
        </is>
      </c>
      <c r="G29" s="9" t="inlineStr">
        <is>
          <t>FL</t>
        </is>
      </c>
      <c r="H29" s="9" t="inlineStr">
        <is>
          <t>32132</t>
        </is>
      </c>
      <c r="K29" s="9" t="inlineStr">
        <is>
          <t>2026-09-25</t>
        </is>
      </c>
      <c r="L29" s="6" t="n"/>
      <c r="M29" s="9" t="inlineStr">
        <is>
          <t>Friday</t>
        </is>
      </c>
      <c r="N29" s="9" t="inlineStr">
        <is>
          <t>09:00</t>
        </is>
      </c>
      <c r="O29" s="9" t="inlineStr">
        <is>
          <t>11:00</t>
        </is>
      </c>
      <c r="P29" s="9" t="inlineStr">
        <is>
          <t>Pressure</t>
        </is>
      </c>
      <c r="Q29" s="9" t="inlineStr">
        <is>
          <t>Biweekly common-area walkway + entrance pressure wash</t>
        </is>
      </c>
      <c r="R29" s="9" t="inlineStr">
        <is>
          <t>Jake R.</t>
        </is>
      </c>
      <c r="S29" s="3" t="n">
        <v>2</v>
      </c>
      <c r="T29" s="9" t="inlineStr">
        <is>
          <t>hour</t>
        </is>
      </c>
      <c r="U29" s="3" t="n"/>
      <c r="V29" s="3" t="n"/>
      <c r="W29" s="3" t="n">
        <v>1</v>
      </c>
      <c r="Z29" s="9" t="inlineStr">
        <is>
          <t>Scheduled</t>
        </is>
      </c>
      <c r="AA29" s="9" t="n">
        <v>380</v>
      </c>
      <c r="AB29" s="9" t="n">
        <v>0</v>
      </c>
      <c r="AC29" s="3">
        <f>AA29-AB29</f>
        <v/>
      </c>
      <c r="AD29" s="4">
        <f>(AA29-AB29)*0.07</f>
        <v/>
      </c>
      <c r="AE29" s="4">
        <f>AC29+AD29</f>
        <v/>
      </c>
      <c r="AF29" s="9" t="inlineStr">
        <is>
          <t>Biweekly</t>
        </is>
      </c>
      <c r="AI29" s="9" t="inlineStr">
        <is>
          <t>Unpaid</t>
        </is>
      </c>
    </row>
    <row r="30" customFormat="1" s="9">
      <c r="A30" s="3" t="inlineStr">
        <is>
          <t>JOB-0028</t>
        </is>
      </c>
      <c r="B30" s="3" t="n"/>
      <c r="C30" s="9" t="inlineStr">
        <is>
          <t>Riverside Medical Center</t>
        </is>
      </c>
      <c r="D30" s="9" t="inlineStr">
        <is>
          <t>Commercial</t>
        </is>
      </c>
      <c r="E30" s="9" t="inlineStr">
        <is>
          <t>1100 Riverside Dr</t>
        </is>
      </c>
      <c r="F30" s="9" t="inlineStr">
        <is>
          <t>New Smyrna Beach</t>
        </is>
      </c>
      <c r="G30" s="9" t="inlineStr">
        <is>
          <t>FL</t>
        </is>
      </c>
      <c r="H30" s="9" t="inlineStr">
        <is>
          <t>32168</t>
        </is>
      </c>
      <c r="K30" s="9" t="inlineStr">
        <is>
          <t>2026-09-01</t>
        </is>
      </c>
      <c r="L30" s="6" t="n"/>
      <c r="M30" s="9" t="inlineStr">
        <is>
          <t>Tuesday</t>
        </is>
      </c>
      <c r="N30" s="9" t="inlineStr">
        <is>
          <t>08:00</t>
        </is>
      </c>
      <c r="O30" s="9" t="inlineStr">
        <is>
          <t>10:00</t>
        </is>
      </c>
      <c r="P30" s="9" t="inlineStr">
        <is>
          <t>Both</t>
        </is>
      </c>
      <c r="Q30" s="9" t="inlineStr">
        <is>
          <t>Monthly full building exterior — windows + entrance pressure wash</t>
        </is>
      </c>
      <c r="R30" s="9" t="inlineStr">
        <is>
          <t>Mike C. + Jake R.</t>
        </is>
      </c>
      <c r="S30" s="3" t="n">
        <v>2</v>
      </c>
      <c r="T30" s="9" t="inlineStr">
        <is>
          <t>hour</t>
        </is>
      </c>
      <c r="U30" s="3" t="n"/>
      <c r="V30" s="3" t="n"/>
      <c r="W30" s="3" t="n"/>
      <c r="Z30" s="9" t="inlineStr">
        <is>
          <t>Scheduled</t>
        </is>
      </c>
      <c r="AA30" s="9" t="n">
        <v>650</v>
      </c>
      <c r="AB30" s="9" t="n">
        <v>0</v>
      </c>
      <c r="AC30" s="3">
        <f>AA30-AB30</f>
        <v/>
      </c>
      <c r="AD30" s="4">
        <f>(AA30-AB30)*0.07</f>
        <v/>
      </c>
      <c r="AE30" s="4">
        <f>AC30+AD30</f>
        <v/>
      </c>
      <c r="AF30" s="9" t="inlineStr">
        <is>
          <t>Monthly</t>
        </is>
      </c>
      <c r="AI30" s="9" t="inlineStr">
        <is>
          <t>Unpaid</t>
        </is>
      </c>
    </row>
    <row r="31" customFormat="1" s="9">
      <c r="A31" s="9" t="inlineStr">
        <is>
          <t>JOB-0029</t>
        </is>
      </c>
      <c r="B31" s="3" t="n"/>
      <c r="C31" s="9" t="inlineStr">
        <is>
          <t>ABC</t>
        </is>
      </c>
      <c r="D31" s="9" t="inlineStr">
        <is>
          <t>Residential</t>
        </is>
      </c>
      <c r="E31" s="9" t="inlineStr">
        <is>
          <t>1500 Shadow Pines Dr</t>
        </is>
      </c>
      <c r="F31" s="9" t="inlineStr">
        <is>
          <t>New Smyrna Beach</t>
        </is>
      </c>
      <c r="G31" s="9" t="inlineStr">
        <is>
          <t>Florida</t>
        </is>
      </c>
      <c r="H31" s="9" t="inlineStr">
        <is>
          <t>32168</t>
        </is>
      </c>
      <c r="K31" s="9" t="inlineStr">
        <is>
          <t>2026-08-21</t>
        </is>
      </c>
      <c r="L31" s="6" t="n"/>
      <c r="P31" s="9" t="inlineStr">
        <is>
          <t>Window</t>
        </is>
      </c>
      <c r="S31" s="3" t="n"/>
      <c r="T31" s="9" t="inlineStr">
        <is>
          <t>min</t>
        </is>
      </c>
      <c r="U31" s="3" t="n"/>
      <c r="V31" s="9" t="inlineStr">
        <is>
          <t>min</t>
        </is>
      </c>
      <c r="W31" s="3" t="n">
        <v>1</v>
      </c>
      <c r="Z31" s="9" t="inlineStr">
        <is>
          <t>Scheduled</t>
        </is>
      </c>
      <c r="AA31" s="9" t="n">
        <v>0</v>
      </c>
      <c r="AB31" s="9" t="n">
        <v>0</v>
      </c>
      <c r="AC31" s="3">
        <f>AA31-AB31</f>
        <v/>
      </c>
      <c r="AD31" s="4">
        <f>(AA31-AB31)*0.07</f>
        <v/>
      </c>
      <c r="AE31" s="4">
        <f>AC31+AD31</f>
        <v/>
      </c>
      <c r="AF31" s="9" t="inlineStr">
        <is>
          <t>One-time</t>
        </is>
      </c>
      <c r="AI31" s="9" t="inlineStr">
        <is>
          <t>Unpaid</t>
        </is>
      </c>
    </row>
    <row r="32" customFormat="1" s="9">
      <c r="A32" s="9" t="inlineStr">
        <is>
          <t>JOB-0030</t>
        </is>
      </c>
      <c r="B32" s="3" t="n"/>
      <c r="C32" s="9" t="inlineStr">
        <is>
          <t>Riverside Medical Center</t>
        </is>
      </c>
      <c r="D32" s="9" t="inlineStr">
        <is>
          <t>Commercial</t>
        </is>
      </c>
      <c r="E32" s="9" t="inlineStr">
        <is>
          <t>1100 Riverside Dr</t>
        </is>
      </c>
      <c r="F32" s="9" t="inlineStr">
        <is>
          <t>New Smyrna Beach</t>
        </is>
      </c>
      <c r="G32" s="9" t="inlineStr">
        <is>
          <t>FL</t>
        </is>
      </c>
      <c r="H32" s="9" t="inlineStr">
        <is>
          <t>32168</t>
        </is>
      </c>
      <c r="K32" s="9" t="inlineStr">
        <is>
          <t>2026-10-06</t>
        </is>
      </c>
      <c r="L32" s="6" t="n"/>
      <c r="M32" s="9" t="inlineStr">
        <is>
          <t>Tuesday</t>
        </is>
      </c>
      <c r="N32" s="9" t="inlineStr">
        <is>
          <t>08:00</t>
        </is>
      </c>
      <c r="O32" s="9" t="inlineStr">
        <is>
          <t>10:00</t>
        </is>
      </c>
      <c r="P32" s="9" t="inlineStr">
        <is>
          <t>Both</t>
        </is>
      </c>
      <c r="Q32" s="9" t="inlineStr">
        <is>
          <t>Monthly full building exterior — windows + entrance pressure wash</t>
        </is>
      </c>
      <c r="R32" s="9" t="inlineStr">
        <is>
          <t>Mike C. + Jake R.</t>
        </is>
      </c>
      <c r="S32" s="3" t="n">
        <v>2</v>
      </c>
      <c r="T32" s="9" t="inlineStr">
        <is>
          <t>hour</t>
        </is>
      </c>
      <c r="U32" s="3" t="n"/>
      <c r="V32" s="3" t="n"/>
      <c r="W32" s="3" t="n">
        <v>1</v>
      </c>
      <c r="Z32" s="9" t="inlineStr">
        <is>
          <t>Scheduled</t>
        </is>
      </c>
      <c r="AA32" s="9" t="n">
        <v>650</v>
      </c>
      <c r="AB32" s="9" t="n">
        <v>0</v>
      </c>
      <c r="AC32" s="3">
        <f>AA32-AB32</f>
        <v/>
      </c>
      <c r="AD32" s="4">
        <f>(AA32-AB32)*0.07</f>
        <v/>
      </c>
      <c r="AE32" s="4">
        <f>AC32+AD32</f>
        <v/>
      </c>
      <c r="AF32" s="9" t="inlineStr">
        <is>
          <t>Monthly</t>
        </is>
      </c>
      <c r="AI32" s="9" t="inlineStr">
        <is>
          <t>Unpaid</t>
        </is>
      </c>
    </row>
    <row r="33" customFormat="1" s="9">
      <c r="A33" s="9" t="inlineStr">
        <is>
          <t>JOB-0031</t>
        </is>
      </c>
      <c r="B33" s="3" t="n"/>
      <c r="C33" s="9" t="inlineStr">
        <is>
          <t>Riverside Medical Center</t>
        </is>
      </c>
      <c r="D33" s="9" t="inlineStr">
        <is>
          <t>Commercial</t>
        </is>
      </c>
      <c r="E33" s="9" t="inlineStr">
        <is>
          <t>1100 Riverside Dr</t>
        </is>
      </c>
      <c r="F33" s="9" t="inlineStr">
        <is>
          <t>New Smyrna Beach</t>
        </is>
      </c>
      <c r="G33" s="9" t="inlineStr">
        <is>
          <t>FL</t>
        </is>
      </c>
      <c r="H33" s="9" t="inlineStr">
        <is>
          <t>32168</t>
        </is>
      </c>
      <c r="K33" s="9" t="inlineStr">
        <is>
          <t>2026-11-03</t>
        </is>
      </c>
      <c r="L33" s="6" t="n"/>
      <c r="M33" s="9" t="inlineStr">
        <is>
          <t>Tuesday</t>
        </is>
      </c>
      <c r="N33" s="9" t="inlineStr">
        <is>
          <t>08:00</t>
        </is>
      </c>
      <c r="O33" s="9" t="inlineStr">
        <is>
          <t>10:00</t>
        </is>
      </c>
      <c r="P33" s="9" t="inlineStr">
        <is>
          <t>Both</t>
        </is>
      </c>
      <c r="Q33" s="9" t="inlineStr">
        <is>
          <t>Monthly full building exterior — windows + entrance pressure wash</t>
        </is>
      </c>
      <c r="R33" s="9" t="inlineStr">
        <is>
          <t>Mike C. + Jake R.</t>
        </is>
      </c>
      <c r="S33" s="3" t="n">
        <v>2</v>
      </c>
      <c r="T33" s="9" t="inlineStr">
        <is>
          <t>hour</t>
        </is>
      </c>
      <c r="U33" s="3" t="n"/>
      <c r="V33" s="3" t="n"/>
      <c r="W33" s="3" t="n">
        <v>1</v>
      </c>
      <c r="Z33" s="9" t="inlineStr">
        <is>
          <t>Scheduled</t>
        </is>
      </c>
      <c r="AA33" s="9" t="n">
        <v>650</v>
      </c>
      <c r="AB33" s="9" t="n">
        <v>0</v>
      </c>
      <c r="AC33" s="3">
        <f>AA33-AB33</f>
        <v/>
      </c>
      <c r="AD33" s="4">
        <f>(AA33-AB33)*0.07</f>
        <v/>
      </c>
      <c r="AE33" s="4">
        <f>AC33+AD33</f>
        <v/>
      </c>
      <c r="AF33" s="9" t="inlineStr">
        <is>
          <t>Monthly</t>
        </is>
      </c>
      <c r="AI33" s="9" t="inlineStr">
        <is>
          <t>Unpaid</t>
        </is>
      </c>
    </row>
    <row r="34" customFormat="1" s="9">
      <c r="L34" s="6" t="n"/>
      <c r="U34" s="3" t="n"/>
      <c r="V34" s="3" t="n"/>
    </row>
    <row r="35" customFormat="1" s="9">
      <c r="L35" s="6" t="n"/>
      <c r="U35" s="3" t="n"/>
      <c r="V35" s="3" t="n"/>
    </row>
    <row r="36" customFormat="1" s="9">
      <c r="L36" s="6" t="n"/>
      <c r="U36" s="3" t="n"/>
      <c r="V36" s="3" t="n"/>
    </row>
    <row r="37" customFormat="1" s="9">
      <c r="L37" s="6" t="n"/>
      <c r="U37" s="3" t="n"/>
      <c r="V37" s="3" t="n"/>
    </row>
    <row r="38" customFormat="1" s="9">
      <c r="L38" s="6" t="n"/>
      <c r="U38" s="3" t="n"/>
      <c r="V38" s="3" t="n"/>
    </row>
    <row r="39" customFormat="1" s="9">
      <c r="L39" s="6" t="n"/>
      <c r="U39" s="3" t="n"/>
      <c r="V39" s="3" t="n"/>
    </row>
    <row r="40" customFormat="1" s="9">
      <c r="L40" s="6" t="n"/>
      <c r="U40" s="3" t="n"/>
      <c r="V40" s="3" t="n"/>
    </row>
    <row r="41" customFormat="1" s="9">
      <c r="L41" s="6" t="n"/>
      <c r="U41" s="3" t="n"/>
      <c r="V41" s="3" t="n"/>
    </row>
    <row r="42" customFormat="1" s="9">
      <c r="L42" s="6" t="n"/>
      <c r="U42" s="3" t="n"/>
      <c r="V42" s="3" t="n"/>
    </row>
    <row r="43" customFormat="1" s="9">
      <c r="L43" s="6" t="n"/>
      <c r="U43" s="3" t="n"/>
      <c r="V43" s="3" t="n"/>
    </row>
    <row r="44" customFormat="1" s="9">
      <c r="L44" s="6" t="n"/>
      <c r="U44" s="3" t="n"/>
      <c r="V44" s="3" t="n"/>
    </row>
    <row r="45" customFormat="1" s="9">
      <c r="L45" s="6" t="n"/>
      <c r="U45" s="3" t="n"/>
      <c r="V45" s="3" t="n"/>
    </row>
    <row r="46" customFormat="1" s="9">
      <c r="L46" s="6" t="n"/>
      <c r="U46" s="3" t="n"/>
      <c r="V46" s="3" t="n"/>
    </row>
    <row r="47" customFormat="1" s="9">
      <c r="L47" s="6" t="n"/>
      <c r="U47" s="3" t="n"/>
      <c r="V47" s="3" t="n"/>
    </row>
    <row r="48" customFormat="1" s="9">
      <c r="L48" s="6" t="n"/>
      <c r="U48" s="3" t="n"/>
      <c r="V48" s="3" t="n"/>
    </row>
    <row r="49" customFormat="1" s="9">
      <c r="L49" s="6" t="n"/>
      <c r="U49" s="3" t="n"/>
      <c r="V49" s="3" t="n"/>
    </row>
    <row r="50" customFormat="1" s="9">
      <c r="L50" s="6" t="n"/>
      <c r="U50" s="3" t="n"/>
      <c r="V50" s="3" t="n"/>
    </row>
    <row r="51" customFormat="1" s="9">
      <c r="L51" s="6" t="n"/>
      <c r="U51" s="3" t="n"/>
      <c r="V51" s="3" t="n"/>
    </row>
    <row r="52" customFormat="1" s="9">
      <c r="L52" s="6" t="n"/>
      <c r="U52" s="3" t="n"/>
      <c r="V52" s="3" t="n"/>
    </row>
    <row r="53" customFormat="1" s="9">
      <c r="L53" s="6" t="n"/>
      <c r="U53" s="3" t="n"/>
      <c r="V53" s="3" t="n"/>
    </row>
    <row r="54" customFormat="1" s="9">
      <c r="L54" s="6" t="n"/>
      <c r="U54" s="3" t="n"/>
      <c r="V54" s="3" t="n"/>
    </row>
    <row r="55" customFormat="1" s="9">
      <c r="L55" s="6" t="n"/>
      <c r="U55" s="3" t="n"/>
      <c r="V55" s="3" t="n"/>
    </row>
    <row r="56" customFormat="1" s="9">
      <c r="L56" s="6" t="n"/>
      <c r="U56" s="3" t="n"/>
      <c r="V56" s="3" t="n"/>
    </row>
    <row r="57">
      <c r="L57" s="6" t="n"/>
    </row>
    <row r="58">
      <c r="L58" s="6" t="n"/>
    </row>
    <row r="59">
      <c r="L59" s="6" t="n"/>
    </row>
    <row r="60">
      <c r="L60" s="6" t="n"/>
    </row>
    <row r="61">
      <c r="L61" s="6" t="n"/>
    </row>
    <row r="62">
      <c r="L62" s="6" t="n"/>
    </row>
    <row r="63">
      <c r="L63" s="6" t="n"/>
    </row>
    <row r="64">
      <c r="L64" s="6" t="n"/>
    </row>
    <row r="65">
      <c r="L65" s="6" t="n"/>
    </row>
    <row r="66">
      <c r="L66" s="6" t="n"/>
    </row>
    <row r="67">
      <c r="L67" s="6" t="n"/>
    </row>
    <row r="68">
      <c r="L68" s="6" t="n"/>
    </row>
    <row r="69">
      <c r="L69" s="6" t="n"/>
    </row>
    <row r="70">
      <c r="L70" s="6" t="n"/>
    </row>
    <row r="71">
      <c r="L71" s="6" t="n"/>
    </row>
    <row r="72">
      <c r="L72" s="6" t="n"/>
    </row>
    <row r="73">
      <c r="L73" s="6" t="n"/>
    </row>
    <row r="74">
      <c r="L74" s="6" t="n"/>
    </row>
    <row r="75">
      <c r="L75" s="6" t="n"/>
    </row>
    <row r="76">
      <c r="L76" s="6" t="n"/>
    </row>
    <row r="77">
      <c r="L77" s="6" t="n"/>
    </row>
    <row r="78">
      <c r="L78" s="6" t="n"/>
    </row>
    <row r="79">
      <c r="L79" s="6" t="n"/>
    </row>
    <row r="80">
      <c r="L80" s="6" t="n"/>
    </row>
    <row r="81">
      <c r="L81" s="6" t="n"/>
    </row>
    <row r="82">
      <c r="L82" s="6" t="n"/>
    </row>
    <row r="83">
      <c r="L83" s="6" t="n"/>
    </row>
    <row r="84">
      <c r="L84" s="6" t="n"/>
    </row>
    <row r="85">
      <c r="L85" s="6" t="n"/>
    </row>
    <row r="86">
      <c r="L86" s="6" t="n"/>
    </row>
    <row r="87">
      <c r="L87" s="6" t="n"/>
    </row>
    <row r="88">
      <c r="L88" s="6" t="n"/>
    </row>
    <row r="89">
      <c r="L89" s="6" t="n"/>
    </row>
    <row r="90">
      <c r="L90" s="6" t="n"/>
    </row>
    <row r="91">
      <c r="L91" s="6" t="n"/>
    </row>
    <row r="92">
      <c r="L92" s="6" t="n"/>
    </row>
    <row r="93">
      <c r="L93" s="6" t="n"/>
    </row>
    <row r="94">
      <c r="L94" s="6" t="n"/>
    </row>
    <row r="95">
      <c r="L95" s="6" t="n"/>
    </row>
    <row r="96">
      <c r="L96" s="6" t="n"/>
    </row>
    <row r="97">
      <c r="L97" s="6" t="n"/>
    </row>
    <row r="98">
      <c r="L98" s="6" t="n"/>
    </row>
    <row r="99">
      <c r="L99" s="6" t="n"/>
    </row>
    <row r="100">
      <c r="L100" s="6" t="n"/>
    </row>
    <row r="101">
      <c r="L101" s="6" t="n"/>
    </row>
    <row r="102">
      <c r="L102" s="6" t="n"/>
    </row>
    <row r="103">
      <c r="L103" s="6" t="n"/>
    </row>
    <row r="104">
      <c r="L104" s="6" t="n"/>
    </row>
    <row r="105">
      <c r="L105" s="6" t="n"/>
    </row>
    <row r="106">
      <c r="L106" s="6" t="n"/>
    </row>
    <row r="107">
      <c r="L107" s="6" t="n"/>
    </row>
    <row r="108">
      <c r="L108" s="6" t="n"/>
    </row>
    <row r="109">
      <c r="L109" s="6" t="n"/>
    </row>
    <row r="110">
      <c r="L110" s="6" t="n"/>
    </row>
    <row r="111">
      <c r="L111" s="6" t="n"/>
    </row>
    <row r="112">
      <c r="L112" s="6" t="n"/>
    </row>
    <row r="113">
      <c r="L113" s="6" t="n"/>
    </row>
    <row r="114">
      <c r="L114" s="6" t="n"/>
    </row>
    <row r="115">
      <c r="L115" s="6" t="n"/>
    </row>
    <row r="116">
      <c r="L116" s="6" t="n"/>
    </row>
    <row r="117">
      <c r="L117" s="6" t="n"/>
    </row>
    <row r="118">
      <c r="L118" s="6" t="n"/>
    </row>
    <row r="119">
      <c r="L119" s="6" t="n"/>
    </row>
    <row r="120">
      <c r="L120" s="6" t="n"/>
    </row>
    <row r="121">
      <c r="L121" s="6" t="n"/>
    </row>
    <row r="122">
      <c r="L122" s="6" t="n"/>
    </row>
    <row r="123">
      <c r="L123" s="6" t="n"/>
    </row>
    <row r="124">
      <c r="L124" s="6" t="n"/>
    </row>
    <row r="125">
      <c r="L125" s="6" t="n"/>
    </row>
    <row r="126">
      <c r="L126" s="6" t="n"/>
    </row>
    <row r="127">
      <c r="L127" s="6" t="n"/>
    </row>
    <row r="128">
      <c r="L128" s="6" t="n"/>
    </row>
    <row r="129">
      <c r="L129" s="6" t="n"/>
    </row>
    <row r="130">
      <c r="L130" s="6" t="n"/>
    </row>
    <row r="131">
      <c r="L131" s="6" t="n"/>
    </row>
    <row r="132">
      <c r="L132" s="6" t="n"/>
    </row>
    <row r="133">
      <c r="L133" s="6" t="n"/>
    </row>
    <row r="134">
      <c r="L134" s="6" t="n"/>
    </row>
    <row r="135">
      <c r="L135" s="6" t="n"/>
    </row>
    <row r="136">
      <c r="L136" s="6" t="n"/>
    </row>
    <row r="137">
      <c r="L137" s="6" t="n"/>
    </row>
    <row r="138">
      <c r="L138" s="6" t="n"/>
    </row>
    <row r="139">
      <c r="L139" s="6" t="n"/>
    </row>
    <row r="140">
      <c r="L140" s="6" t="n"/>
    </row>
    <row r="141">
      <c r="L141" s="6" t="n"/>
    </row>
    <row r="142">
      <c r="L142" s="6" t="n"/>
    </row>
    <row r="143">
      <c r="L143" s="6" t="n"/>
    </row>
    <row r="144">
      <c r="L144" s="6" t="n"/>
    </row>
    <row r="145">
      <c r="L145" s="6" t="n"/>
    </row>
    <row r="146">
      <c r="L146" s="6" t="n"/>
    </row>
    <row r="147">
      <c r="L147" s="6" t="n"/>
    </row>
    <row r="148">
      <c r="L148" s="6" t="n"/>
    </row>
    <row r="149">
      <c r="L149" s="6" t="n"/>
    </row>
    <row r="150">
      <c r="L150" s="6" t="n"/>
    </row>
    <row r="151">
      <c r="L151" s="6" t="n"/>
    </row>
    <row r="152">
      <c r="L152" s="6" t="n"/>
    </row>
    <row r="153">
      <c r="L153" s="6" t="n"/>
    </row>
    <row r="154">
      <c r="L154" s="6" t="n"/>
    </row>
    <row r="155">
      <c r="L155" s="6" t="n"/>
    </row>
    <row r="156">
      <c r="L156" s="6" t="n"/>
    </row>
    <row r="157">
      <c r="L157" s="6" t="n"/>
    </row>
    <row r="158">
      <c r="L158" s="6" t="n"/>
    </row>
    <row r="159">
      <c r="L159" s="6" t="n"/>
    </row>
    <row r="160">
      <c r="L160" s="6" t="n"/>
    </row>
    <row r="161">
      <c r="L161" s="6" t="n"/>
    </row>
    <row r="162">
      <c r="L162" s="6" t="n"/>
    </row>
    <row r="163">
      <c r="L163" s="6" t="n"/>
    </row>
    <row r="164">
      <c r="L164" s="6" t="n"/>
    </row>
    <row r="165">
      <c r="L165" s="6" t="n"/>
    </row>
    <row r="166">
      <c r="L166" s="6" t="n"/>
    </row>
    <row r="167">
      <c r="L167" s="6" t="n"/>
    </row>
    <row r="168">
      <c r="L168" s="6" t="n"/>
    </row>
    <row r="169">
      <c r="L169" s="6" t="n"/>
    </row>
    <row r="170">
      <c r="L170" s="6" t="n"/>
    </row>
    <row r="171">
      <c r="L171" s="6" t="n"/>
    </row>
    <row r="172">
      <c r="L172" s="6" t="n"/>
    </row>
    <row r="173">
      <c r="L173" s="6" t="n"/>
    </row>
    <row r="174">
      <c r="L174" s="6" t="n"/>
    </row>
    <row r="175">
      <c r="L175" s="6" t="n"/>
    </row>
    <row r="176">
      <c r="L176" s="6" t="n"/>
    </row>
    <row r="177">
      <c r="L177" s="6" t="n"/>
    </row>
    <row r="178">
      <c r="L178" s="6" t="n"/>
    </row>
    <row r="179">
      <c r="L179" s="6" t="n"/>
    </row>
    <row r="180">
      <c r="L180" s="6" t="n"/>
    </row>
    <row r="181">
      <c r="L181" s="6" t="n"/>
    </row>
    <row r="182">
      <c r="L182" s="6" t="n"/>
    </row>
    <row r="183">
      <c r="L183" s="6" t="n"/>
    </row>
    <row r="184">
      <c r="L184" s="6" t="n"/>
    </row>
    <row r="185">
      <c r="L185" s="6" t="n"/>
    </row>
    <row r="186">
      <c r="L186" s="6" t="n"/>
    </row>
    <row r="187">
      <c r="L187" s="6" t="n"/>
    </row>
    <row r="188">
      <c r="L188" s="6" t="n"/>
    </row>
    <row r="189">
      <c r="L189" s="6" t="n"/>
    </row>
    <row r="190">
      <c r="L190" s="6" t="n"/>
    </row>
    <row r="191">
      <c r="L191" s="6" t="n"/>
    </row>
    <row r="192">
      <c r="L192" s="6" t="n"/>
    </row>
    <row r="193">
      <c r="L193" s="6" t="n"/>
    </row>
    <row r="194">
      <c r="L194" s="6" t="n"/>
    </row>
    <row r="195">
      <c r="L195" s="6" t="n"/>
    </row>
    <row r="196">
      <c r="L196" s="6" t="n"/>
    </row>
    <row r="197">
      <c r="L197" s="6" t="n"/>
    </row>
    <row r="198">
      <c r="L198" s="6" t="n"/>
    </row>
    <row r="199">
      <c r="L199" s="6" t="n"/>
    </row>
    <row r="200">
      <c r="L200" s="6" t="n"/>
    </row>
    <row r="201">
      <c r="L201" s="6" t="n"/>
    </row>
    <row r="202">
      <c r="L202" s="6" t="n"/>
    </row>
    <row r="203">
      <c r="L203" s="6" t="n"/>
    </row>
    <row r="204">
      <c r="L204" s="6" t="n"/>
    </row>
    <row r="205">
      <c r="L205" s="6" t="n"/>
    </row>
    <row r="206">
      <c r="L206" s="6" t="n"/>
    </row>
    <row r="207">
      <c r="L207" s="6" t="n"/>
    </row>
    <row r="208">
      <c r="L208" s="6" t="n"/>
    </row>
    <row r="209">
      <c r="L209" s="6" t="n"/>
    </row>
    <row r="210">
      <c r="L210" s="6" t="n"/>
    </row>
    <row r="211">
      <c r="L211" s="6" t="n"/>
    </row>
    <row r="212">
      <c r="L212" s="6" t="n"/>
    </row>
    <row r="213">
      <c r="L213" s="6" t="n"/>
    </row>
    <row r="214">
      <c r="L214" s="6" t="n"/>
    </row>
    <row r="215">
      <c r="L215" s="6" t="n"/>
    </row>
    <row r="216">
      <c r="L216" s="6" t="n"/>
    </row>
    <row r="217">
      <c r="L217" s="6" t="n"/>
    </row>
    <row r="218">
      <c r="L218" s="6" t="n"/>
    </row>
    <row r="219">
      <c r="L219" s="6" t="n"/>
    </row>
    <row r="220">
      <c r="L220" s="6" t="n"/>
    </row>
    <row r="221">
      <c r="L221" s="6" t="n"/>
    </row>
    <row r="222">
      <c r="L222" s="6" t="n"/>
    </row>
    <row r="223">
      <c r="L223" s="6" t="n"/>
    </row>
    <row r="224">
      <c r="L224" s="6" t="n"/>
    </row>
    <row r="225">
      <c r="L225" s="6" t="n"/>
    </row>
    <row r="226">
      <c r="L226" s="6" t="n"/>
    </row>
    <row r="227">
      <c r="L227" s="6" t="n"/>
    </row>
    <row r="228">
      <c r="L228" s="6" t="n"/>
    </row>
    <row r="229">
      <c r="L229" s="6" t="n"/>
    </row>
    <row r="230">
      <c r="L230" s="6" t="n"/>
    </row>
    <row r="231">
      <c r="L231" s="6" t="n"/>
    </row>
    <row r="232">
      <c r="L232" s="6" t="n"/>
    </row>
    <row r="233">
      <c r="L233" s="6" t="n"/>
    </row>
    <row r="234">
      <c r="L234" s="6" t="n"/>
    </row>
    <row r="235">
      <c r="L235" s="6" t="n"/>
    </row>
    <row r="236">
      <c r="L236" s="6" t="n"/>
    </row>
    <row r="237">
      <c r="L237" s="6" t="n"/>
    </row>
    <row r="238">
      <c r="L238" s="6" t="n"/>
    </row>
    <row r="239">
      <c r="L239" s="6" t="n"/>
    </row>
    <row r="240">
      <c r="L240" s="6" t="n"/>
    </row>
    <row r="241">
      <c r="L241" s="6" t="n"/>
    </row>
    <row r="242">
      <c r="L242" s="6" t="n"/>
    </row>
    <row r="243">
      <c r="L243" s="6" t="n"/>
    </row>
    <row r="244">
      <c r="L244" s="6" t="n"/>
    </row>
    <row r="245">
      <c r="L245" s="6" t="n"/>
    </row>
    <row r="246">
      <c r="L246" s="6" t="n"/>
    </row>
    <row r="247">
      <c r="L247" s="6" t="n"/>
    </row>
    <row r="248">
      <c r="L248" s="6" t="n"/>
    </row>
    <row r="249">
      <c r="L249" s="6" t="n"/>
    </row>
    <row r="250">
      <c r="L250" s="6" t="n"/>
    </row>
    <row r="251">
      <c r="L251" s="6" t="n"/>
    </row>
    <row r="252">
      <c r="L252" s="6" t="n"/>
    </row>
    <row r="253">
      <c r="L253" s="6" t="n"/>
    </row>
    <row r="254">
      <c r="L254" s="6" t="n"/>
    </row>
    <row r="255">
      <c r="L255" s="6" t="n"/>
    </row>
    <row r="256">
      <c r="L256" s="6" t="n"/>
    </row>
    <row r="257">
      <c r="L257" s="6" t="n"/>
    </row>
    <row r="258">
      <c r="L258" s="6" t="n"/>
    </row>
    <row r="259">
      <c r="L259" s="6" t="n"/>
    </row>
    <row r="260">
      <c r="L260" s="6" t="n"/>
    </row>
    <row r="261">
      <c r="L261" s="6" t="n"/>
    </row>
    <row r="262">
      <c r="L262" s="6" t="n"/>
    </row>
    <row r="263">
      <c r="L263" s="6" t="n"/>
    </row>
    <row r="264">
      <c r="L264" s="6" t="n"/>
    </row>
    <row r="265">
      <c r="L265" s="6" t="n"/>
    </row>
    <row r="266">
      <c r="L266" s="6" t="n"/>
    </row>
    <row r="267">
      <c r="L267" s="6" t="n"/>
    </row>
    <row r="268">
      <c r="L268" s="6" t="n"/>
    </row>
    <row r="269">
      <c r="L269" s="6" t="n"/>
    </row>
    <row r="270">
      <c r="L270" s="6" t="n"/>
    </row>
    <row r="271">
      <c r="L271" s="6" t="n"/>
    </row>
    <row r="272">
      <c r="L272" s="6" t="n"/>
    </row>
    <row r="273">
      <c r="L273" s="6" t="n"/>
    </row>
    <row r="274">
      <c r="L274" s="6" t="n"/>
    </row>
    <row r="275">
      <c r="L275" s="6" t="n"/>
    </row>
    <row r="276">
      <c r="L276" s="6" t="n"/>
    </row>
    <row r="277">
      <c r="L277" s="6" t="n"/>
    </row>
    <row r="278">
      <c r="L278" s="6" t="n"/>
    </row>
    <row r="279">
      <c r="L279" s="6" t="n"/>
    </row>
    <row r="280">
      <c r="L280" s="6" t="n"/>
    </row>
    <row r="281">
      <c r="L281" s="6" t="n"/>
    </row>
    <row r="282">
      <c r="L282" s="6" t="n"/>
    </row>
    <row r="283">
      <c r="L283" s="6" t="n"/>
    </row>
    <row r="284">
      <c r="L284" s="6" t="n"/>
    </row>
    <row r="285">
      <c r="L285" s="6" t="n"/>
    </row>
    <row r="286">
      <c r="L286" s="6" t="n"/>
    </row>
    <row r="287">
      <c r="L287" s="6" t="n"/>
    </row>
    <row r="288">
      <c r="L288" s="6" t="n"/>
    </row>
    <row r="289">
      <c r="L289" s="6" t="n"/>
    </row>
    <row r="290">
      <c r="L290" s="6" t="n"/>
    </row>
    <row r="291">
      <c r="L291" s="6" t="n"/>
    </row>
    <row r="292">
      <c r="L292" s="6" t="n"/>
    </row>
    <row r="293">
      <c r="L293" s="6" t="n"/>
    </row>
    <row r="294">
      <c r="L294" s="6" t="n"/>
    </row>
    <row r="295">
      <c r="L295" s="6" t="n"/>
    </row>
    <row r="296">
      <c r="L296" s="6" t="n"/>
    </row>
    <row r="297">
      <c r="L297" s="6" t="n"/>
    </row>
    <row r="298">
      <c r="L298" s="6" t="n"/>
    </row>
    <row r="299">
      <c r="L299" s="6" t="n"/>
    </row>
    <row r="300">
      <c r="L300" s="6" t="n"/>
    </row>
    <row r="301">
      <c r="L301" s="6" t="n"/>
    </row>
    <row r="302">
      <c r="L302" s="6" t="n"/>
    </row>
    <row r="303">
      <c r="L303" s="6" t="n"/>
    </row>
    <row r="304">
      <c r="L304" s="6" t="n"/>
    </row>
    <row r="305">
      <c r="L305" s="6" t="n"/>
    </row>
    <row r="306">
      <c r="L306" s="6" t="n"/>
    </row>
    <row r="307">
      <c r="L307" s="6" t="n"/>
    </row>
    <row r="308">
      <c r="L308" s="6" t="n"/>
    </row>
    <row r="309">
      <c r="L309" s="6" t="n"/>
    </row>
    <row r="310">
      <c r="L310" s="6" t="n"/>
    </row>
    <row r="311">
      <c r="L311" s="6" t="n"/>
    </row>
    <row r="312">
      <c r="L312" s="6" t="n"/>
    </row>
    <row r="313">
      <c r="L313" s="6" t="n"/>
    </row>
    <row r="314">
      <c r="L314" s="6" t="n"/>
    </row>
    <row r="315">
      <c r="L315" s="6" t="n"/>
    </row>
    <row r="316">
      <c r="L316" s="6" t="n"/>
    </row>
    <row r="317">
      <c r="L317" s="6" t="n"/>
    </row>
    <row r="318">
      <c r="L318" s="6" t="n"/>
    </row>
    <row r="319">
      <c r="L319" s="6" t="n"/>
    </row>
    <row r="320">
      <c r="L320" s="6" t="n"/>
    </row>
    <row r="321">
      <c r="L321" s="6" t="n"/>
    </row>
    <row r="322">
      <c r="L322" s="6" t="n"/>
    </row>
    <row r="323">
      <c r="L323" s="6" t="n"/>
    </row>
    <row r="324">
      <c r="L324" s="6" t="n"/>
    </row>
    <row r="325">
      <c r="L325" s="6" t="n"/>
    </row>
    <row r="326">
      <c r="L326" s="6" t="n"/>
    </row>
    <row r="327">
      <c r="L327" s="6" t="n"/>
    </row>
    <row r="328">
      <c r="L328" s="6" t="n"/>
    </row>
    <row r="329">
      <c r="L329" s="6" t="n"/>
    </row>
    <row r="330">
      <c r="L330" s="6" t="n"/>
    </row>
    <row r="331">
      <c r="L331" s="6" t="n"/>
    </row>
    <row r="332">
      <c r="L332" s="6" t="n"/>
    </row>
    <row r="333">
      <c r="L333" s="6" t="n"/>
    </row>
    <row r="334">
      <c r="L334" s="6" t="n"/>
    </row>
    <row r="335">
      <c r="L335" s="6" t="n"/>
    </row>
    <row r="336">
      <c r="L336" s="6" t="n"/>
    </row>
    <row r="337">
      <c r="L337" s="6" t="n"/>
    </row>
    <row r="338">
      <c r="L338" s="6" t="n"/>
    </row>
    <row r="339">
      <c r="L339" s="6" t="n"/>
    </row>
    <row r="340">
      <c r="L340" s="6" t="n"/>
    </row>
    <row r="341">
      <c r="L341" s="6" t="n"/>
    </row>
    <row r="342">
      <c r="L342" s="6" t="n"/>
    </row>
    <row r="343">
      <c r="L343" s="6" t="n"/>
    </row>
    <row r="344">
      <c r="L344" s="6" t="n"/>
    </row>
    <row r="345">
      <c r="L345" s="6" t="n"/>
    </row>
    <row r="346">
      <c r="L346" s="6" t="n"/>
    </row>
    <row r="347">
      <c r="L347" s="6" t="n"/>
    </row>
    <row r="348">
      <c r="L348" s="6" t="n"/>
    </row>
    <row r="349">
      <c r="L349" s="6" t="n"/>
    </row>
    <row r="350">
      <c r="L350" s="6" t="n"/>
    </row>
    <row r="351">
      <c r="L351" s="6" t="n"/>
    </row>
    <row r="352">
      <c r="L352" s="6" t="n"/>
    </row>
    <row r="353">
      <c r="L353" s="6" t="n"/>
    </row>
    <row r="354">
      <c r="L354" s="6" t="n"/>
    </row>
    <row r="355">
      <c r="L355" s="6" t="n"/>
    </row>
    <row r="356">
      <c r="L356" s="6" t="n"/>
    </row>
    <row r="357">
      <c r="L357" s="6" t="n"/>
    </row>
    <row r="358">
      <c r="L358" s="6" t="n"/>
    </row>
    <row r="359">
      <c r="L359" s="6" t="n"/>
    </row>
    <row r="360">
      <c r="L360" s="6" t="n"/>
    </row>
    <row r="361">
      <c r="L361" s="6" t="n"/>
    </row>
    <row r="362">
      <c r="L362" s="6" t="n"/>
    </row>
    <row r="363">
      <c r="L363" s="6" t="n"/>
    </row>
    <row r="364">
      <c r="L364" s="6" t="n"/>
    </row>
    <row r="365">
      <c r="L365" s="6" t="n"/>
    </row>
    <row r="366">
      <c r="L366" s="6" t="n"/>
    </row>
    <row r="367">
      <c r="L367" s="6" t="n"/>
    </row>
    <row r="368">
      <c r="L368" s="6" t="n"/>
    </row>
    <row r="369">
      <c r="L369" s="6" t="n"/>
    </row>
    <row r="370">
      <c r="L370" s="6" t="n"/>
    </row>
    <row r="371">
      <c r="L371" s="6" t="n"/>
    </row>
    <row r="372">
      <c r="L372" s="6" t="n"/>
    </row>
    <row r="373">
      <c r="L373" s="6" t="n"/>
    </row>
    <row r="374">
      <c r="L374" s="6" t="n"/>
    </row>
    <row r="375">
      <c r="L375" s="6" t="n"/>
    </row>
    <row r="376">
      <c r="L376" s="6" t="n"/>
    </row>
    <row r="377">
      <c r="L377" s="6" t="n"/>
    </row>
    <row r="378">
      <c r="L378" s="6" t="n"/>
    </row>
    <row r="379">
      <c r="L379" s="6" t="n"/>
    </row>
    <row r="380">
      <c r="L380" s="6" t="n"/>
    </row>
    <row r="381">
      <c r="L381" s="6" t="n"/>
    </row>
    <row r="382">
      <c r="L382" s="6" t="n"/>
    </row>
    <row r="383">
      <c r="L383" s="6" t="n"/>
    </row>
    <row r="384">
      <c r="L384" s="6" t="n"/>
    </row>
    <row r="385">
      <c r="L385" s="6" t="n"/>
    </row>
    <row r="386">
      <c r="L386" s="6" t="n"/>
    </row>
    <row r="387">
      <c r="L387" s="6" t="n"/>
    </row>
    <row r="388">
      <c r="L388" s="6" t="n"/>
    </row>
    <row r="389">
      <c r="L389" s="6" t="n"/>
    </row>
    <row r="390">
      <c r="L390" s="6" t="n"/>
    </row>
    <row r="391">
      <c r="L391" s="6" t="n"/>
    </row>
    <row r="392">
      <c r="L392" s="6" t="n"/>
    </row>
    <row r="393">
      <c r="L393" s="6" t="n"/>
    </row>
    <row r="394">
      <c r="L394" s="6" t="n"/>
    </row>
    <row r="395">
      <c r="L395" s="6" t="n"/>
    </row>
    <row r="396">
      <c r="L396" s="6" t="n"/>
    </row>
    <row r="397">
      <c r="L397" s="6" t="n"/>
    </row>
    <row r="398">
      <c r="L398" s="6" t="n"/>
    </row>
    <row r="399">
      <c r="L399" s="6" t="n"/>
    </row>
    <row r="400">
      <c r="L400" s="6" t="n"/>
    </row>
    <row r="401">
      <c r="L401" s="6" t="n"/>
    </row>
    <row r="402">
      <c r="L402" s="6" t="n"/>
    </row>
    <row r="403">
      <c r="L403" s="6" t="n"/>
    </row>
    <row r="404">
      <c r="L404" s="6" t="n"/>
    </row>
    <row r="405">
      <c r="L405" s="6" t="n"/>
    </row>
    <row r="406">
      <c r="L406" s="6" t="n"/>
    </row>
    <row r="407">
      <c r="L407" s="6" t="n"/>
    </row>
    <row r="408">
      <c r="L408" s="6" t="n"/>
    </row>
    <row r="409">
      <c r="L409" s="6" t="n"/>
    </row>
    <row r="410">
      <c r="L410" s="6" t="n"/>
    </row>
    <row r="411">
      <c r="L411" s="6" t="n"/>
    </row>
    <row r="412">
      <c r="L412" s="6" t="n"/>
    </row>
    <row r="413">
      <c r="L413" s="6" t="n"/>
    </row>
    <row r="414">
      <c r="L414" s="6" t="n"/>
    </row>
    <row r="415">
      <c r="L415" s="6" t="n"/>
    </row>
    <row r="416">
      <c r="L416" s="6" t="n"/>
    </row>
    <row r="417">
      <c r="L417" s="6" t="n"/>
    </row>
    <row r="418">
      <c r="L418" s="6" t="n"/>
    </row>
    <row r="419">
      <c r="L419" s="6" t="n"/>
    </row>
    <row r="420">
      <c r="L420" s="6" t="n"/>
    </row>
    <row r="421">
      <c r="L421" s="6" t="n"/>
    </row>
    <row r="422">
      <c r="L422" s="6" t="n"/>
    </row>
    <row r="423">
      <c r="L423" s="6" t="n"/>
    </row>
    <row r="424">
      <c r="L424" s="6" t="n"/>
    </row>
    <row r="425">
      <c r="L425" s="6" t="n"/>
    </row>
    <row r="426">
      <c r="L426" s="6" t="n"/>
    </row>
    <row r="427">
      <c r="L427" s="6" t="n"/>
    </row>
    <row r="428">
      <c r="L428" s="6" t="n"/>
    </row>
    <row r="429">
      <c r="L429" s="6" t="n"/>
    </row>
    <row r="430">
      <c r="L430" s="6" t="n"/>
    </row>
    <row r="431">
      <c r="L431" s="6" t="n"/>
    </row>
    <row r="432">
      <c r="L432" s="6" t="n"/>
    </row>
    <row r="433">
      <c r="L433" s="6" t="n"/>
    </row>
    <row r="434">
      <c r="L434" s="6" t="n"/>
    </row>
    <row r="435">
      <c r="L435" s="6" t="n"/>
    </row>
    <row r="436">
      <c r="L436" s="6" t="n"/>
    </row>
    <row r="437">
      <c r="L437" s="6" t="n"/>
    </row>
    <row r="438">
      <c r="L438" s="6" t="n"/>
    </row>
    <row r="439">
      <c r="L439" s="6" t="n"/>
    </row>
    <row r="440">
      <c r="L440" s="6" t="n"/>
    </row>
    <row r="441">
      <c r="L441" s="6" t="n"/>
    </row>
    <row r="442">
      <c r="L442" s="6" t="n"/>
    </row>
    <row r="443">
      <c r="L443" s="6" t="n"/>
    </row>
    <row r="444">
      <c r="L444" s="6" t="n"/>
    </row>
    <row r="445">
      <c r="L445" s="6" t="n"/>
    </row>
    <row r="446">
      <c r="L446" s="6" t="n"/>
    </row>
    <row r="447">
      <c r="L447" s="6" t="n"/>
    </row>
    <row r="448">
      <c r="L448" s="6" t="n"/>
    </row>
    <row r="449">
      <c r="L449" s="6" t="n"/>
    </row>
    <row r="450">
      <c r="L450" s="6" t="n"/>
    </row>
    <row r="451">
      <c r="L451" s="6" t="n"/>
    </row>
    <row r="452">
      <c r="L452" s="6" t="n"/>
    </row>
    <row r="453">
      <c r="L453" s="6" t="n"/>
    </row>
    <row r="454">
      <c r="L454" s="6" t="n"/>
    </row>
    <row r="455">
      <c r="L455" s="6" t="n"/>
    </row>
    <row r="456">
      <c r="L456" s="6" t="n"/>
    </row>
    <row r="457">
      <c r="L457" s="6" t="n"/>
    </row>
    <row r="458">
      <c r="L458" s="6" t="n"/>
    </row>
    <row r="459">
      <c r="L459" s="6" t="n"/>
    </row>
    <row r="460">
      <c r="L460" s="6" t="n"/>
    </row>
    <row r="461">
      <c r="L461" s="6" t="n"/>
    </row>
    <row r="462">
      <c r="L462" s="6" t="n"/>
    </row>
    <row r="463">
      <c r="L463" s="6" t="n"/>
    </row>
    <row r="464">
      <c r="L464" s="6" t="n"/>
    </row>
    <row r="465">
      <c r="L465" s="6" t="n"/>
    </row>
    <row r="466">
      <c r="L466" s="6" t="n"/>
    </row>
    <row r="467">
      <c r="L467" s="6" t="n"/>
    </row>
    <row r="468">
      <c r="L468" s="6" t="n"/>
    </row>
    <row r="469">
      <c r="L469" s="6" t="n"/>
    </row>
    <row r="470">
      <c r="L470" s="6" t="n"/>
    </row>
    <row r="471">
      <c r="L471" s="6" t="n"/>
    </row>
    <row r="472">
      <c r="L472" s="6" t="n"/>
    </row>
    <row r="473">
      <c r="L473" s="6" t="n"/>
    </row>
    <row r="474">
      <c r="L474" s="6" t="n"/>
    </row>
    <row r="475">
      <c r="L475" s="6" t="n"/>
    </row>
    <row r="476">
      <c r="L476" s="6" t="n"/>
    </row>
    <row r="477">
      <c r="L477" s="6" t="n"/>
    </row>
    <row r="478">
      <c r="L478" s="6" t="n"/>
    </row>
    <row r="479">
      <c r="L479" s="6" t="n"/>
    </row>
    <row r="480">
      <c r="L480" s="6" t="n"/>
    </row>
    <row r="481">
      <c r="L481" s="6" t="n"/>
    </row>
    <row r="482">
      <c r="L482" s="6" t="n"/>
    </row>
    <row r="483">
      <c r="L483" s="6" t="n"/>
    </row>
    <row r="484">
      <c r="L484" s="6" t="n"/>
    </row>
    <row r="485">
      <c r="L485" s="6" t="n"/>
    </row>
    <row r="486">
      <c r="L486" s="6" t="n"/>
    </row>
    <row r="487">
      <c r="L487" s="6" t="n"/>
    </row>
    <row r="488">
      <c r="L488" s="6" t="n"/>
    </row>
    <row r="489">
      <c r="L489" s="6" t="n"/>
    </row>
    <row r="490">
      <c r="L490" s="6" t="n"/>
    </row>
    <row r="491">
      <c r="L491" s="6" t="n"/>
    </row>
    <row r="492">
      <c r="L492" s="6" t="n"/>
    </row>
    <row r="493">
      <c r="L493" s="6" t="n"/>
    </row>
    <row r="494">
      <c r="L494" s="6" t="n"/>
    </row>
    <row r="495">
      <c r="L495" s="6" t="n"/>
    </row>
    <row r="496">
      <c r="L496" s="6" t="n"/>
    </row>
    <row r="497">
      <c r="L497" s="6" t="n"/>
    </row>
    <row r="498">
      <c r="L498" s="6" t="n"/>
    </row>
    <row r="499">
      <c r="L499" s="6" t="n"/>
    </row>
    <row r="500">
      <c r="L500" s="6" t="n"/>
    </row>
  </sheetData>
  <dataValidations count="1">
    <dataValidation sqref="T3:T502 V3:V502" showDropDown="0" showInputMessage="1" showErrorMessage="1" allowBlank="1" type="list">
      <formula1>"min,hour,day"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3" topLeftCell="A94" activePane="bottomLeft" state="frozen"/>
      <selection pane="bottomLeft" activeCell="G100" sqref="G100"/>
    </sheetView>
  </sheetViews>
  <sheetFormatPr baseColWidth="8" defaultRowHeight="14.5"/>
  <sheetData>
    <row r="1" ht="18" customHeight="1" s="11">
      <c r="A1" s="1" t="inlineStr">
        <is>
          <t>🗺️  DAILY ROUTE PLANNER — AI-Prowler Route Optimization</t>
        </is>
      </c>
    </row>
    <row r="2">
      <c r="A2" s="5" t="inlineStr">
        <is>
          <t>★  Ask AI-Prowler: "Optimize my route for [DATE] and build a map URL for all stops"  → AI-Prowler will fill Lat/Lon, reorder stops, and generate the Google Maps waypoint URL</t>
        </is>
      </c>
    </row>
    <row r="3" ht="65" customHeight="1" s="11">
      <c r="A3" s="2" t="inlineStr">
        <is>
          <t>Route
Date</t>
        </is>
      </c>
      <c r="B3" s="2" t="inlineStr">
        <is>
          <t>Crew /
Technician</t>
        </is>
      </c>
      <c r="C3" s="2" t="inlineStr">
        <is>
          <t>Stop
#</t>
        </is>
      </c>
      <c r="D3" s="2" t="inlineStr">
        <is>
          <t>JobID</t>
        </is>
      </c>
      <c r="E3" s="2" t="inlineStr">
        <is>
          <t>CustomerID</t>
        </is>
      </c>
      <c r="F3" s="2" t="inlineStr">
        <is>
          <t>Customer Name
/ Company</t>
        </is>
      </c>
      <c r="G3" s="2" t="inlineStr">
        <is>
          <t>Street Address
★ AI Geocode</t>
        </is>
      </c>
      <c r="H3" s="2" t="inlineStr">
        <is>
          <t>City</t>
        </is>
      </c>
      <c r="I3" s="2" t="inlineStr">
        <is>
          <t>State</t>
        </is>
      </c>
      <c r="J3" s="2" t="inlineStr">
        <is>
          <t>ZIP</t>
        </is>
      </c>
      <c r="K3" s="2" t="inlineStr">
        <is>
          <t>Latitude
(AI Fill)</t>
        </is>
      </c>
      <c r="L3" s="2" t="inlineStr">
        <is>
          <t>Longitude
(AI Fill)</t>
        </is>
      </c>
      <c r="M3" s="2" t="inlineStr">
        <is>
          <t>Sched.
Arrival</t>
        </is>
      </c>
      <c r="N3" s="2" t="inlineStr">
        <is>
          <t>Sched.
Depart</t>
        </is>
      </c>
      <c r="O3" s="2" t="inlineStr">
        <is>
          <t>Drive Time
from Prev. (min)</t>
        </is>
      </c>
      <c r="P3" s="2" t="inlineStr">
        <is>
          <t>Service
Type</t>
        </is>
      </c>
      <c r="Q3" s="2" t="inlineStr">
        <is>
          <t>Duration
(min)</t>
        </is>
      </c>
      <c r="R3" s="2" t="inlineStr">
        <is>
          <t>Waypoint
Map URL
★ AI Prowler</t>
        </is>
      </c>
    </row>
    <row r="4" ht="37.5" customFormat="1" customHeight="1" s="9">
      <c r="A4" s="3" t="inlineStr">
        <is>
          <t>2026-03-30</t>
        </is>
      </c>
      <c r="B4" s="3" t="inlineStr">
        <is>
          <t>Mike C.</t>
        </is>
      </c>
      <c r="C4" s="3" t="n">
        <v>1</v>
      </c>
      <c r="D4" s="3" t="inlineStr">
        <is>
          <t>JOB-0001</t>
        </is>
      </c>
      <c r="E4" s="3" t="inlineStr">
        <is>
          <t>CUST-0001</t>
        </is>
      </c>
      <c r="F4" s="3" t="inlineStr">
        <is>
          <t>Sunshine Realty LLC</t>
        </is>
      </c>
      <c r="G4" s="3" t="inlineStr">
        <is>
          <t>125 Harbor Blvd</t>
        </is>
      </c>
      <c r="H4" s="3" t="inlineStr">
        <is>
          <t>New Smyrna Beach</t>
        </is>
      </c>
      <c r="I4" s="3" t="inlineStr">
        <is>
          <t>FL</t>
        </is>
      </c>
      <c r="J4" s="3" t="inlineStr">
        <is>
          <t>32168</t>
        </is>
      </c>
      <c r="M4" s="3" t="inlineStr">
        <is>
          <t>08:00</t>
        </is>
      </c>
      <c r="N4" s="3" t="inlineStr">
        <is>
          <t>09:30</t>
        </is>
      </c>
      <c r="O4" s="3" t="inlineStr">
        <is>
          <t>—</t>
        </is>
      </c>
      <c r="P4" s="3" t="inlineStr">
        <is>
          <t>Window</t>
        </is>
      </c>
      <c r="Q4" s="3" t="n">
        <v>90</v>
      </c>
    </row>
    <row r="5" ht="37.5" customFormat="1" customHeight="1" s="9">
      <c r="A5" s="3" t="inlineStr">
        <is>
          <t>2026-03-30</t>
        </is>
      </c>
      <c r="B5" s="3" t="inlineStr">
        <is>
          <t>Mike C.</t>
        </is>
      </c>
      <c r="C5" s="3" t="n">
        <v>2</v>
      </c>
      <c r="D5" s="3" t="inlineStr">
        <is>
          <t>JOB-0002</t>
        </is>
      </c>
      <c r="E5" s="3" t="inlineStr">
        <is>
          <t>CUST-0003</t>
        </is>
      </c>
      <c r="F5" s="3" t="inlineStr">
        <is>
          <t>Blue Wave Cafe</t>
        </is>
      </c>
      <c r="G5" s="3" t="inlineStr">
        <is>
          <t>810 Canal St</t>
        </is>
      </c>
      <c r="H5" s="3" t="inlineStr">
        <is>
          <t>New Smyrna Beach</t>
        </is>
      </c>
      <c r="I5" s="3" t="inlineStr">
        <is>
          <t>FL</t>
        </is>
      </c>
      <c r="J5" s="3" t="inlineStr">
        <is>
          <t>32168</t>
        </is>
      </c>
      <c r="M5" s="3" t="inlineStr">
        <is>
          <t>10:00</t>
        </is>
      </c>
      <c r="N5" s="3" t="inlineStr">
        <is>
          <t>10:45</t>
        </is>
      </c>
      <c r="O5" s="3" t="n">
        <v>12</v>
      </c>
      <c r="P5" s="3" t="inlineStr">
        <is>
          <t>Window</t>
        </is>
      </c>
      <c r="Q5" s="3" t="n">
        <v>45</v>
      </c>
    </row>
    <row r="6" ht="37.5" customFormat="1" customHeight="1" s="9">
      <c r="A6" s="3" t="inlineStr">
        <is>
          <t>2026-03-30</t>
        </is>
      </c>
      <c r="B6" s="3" t="inlineStr">
        <is>
          <t>Mike C.</t>
        </is>
      </c>
      <c r="C6" s="3" t="n">
        <v>3</v>
      </c>
      <c r="D6" s="3" t="inlineStr">
        <is>
          <t>JOB-0003</t>
        </is>
      </c>
      <c r="E6" s="3" t="inlineStr">
        <is>
          <t>CUST-0005</t>
        </is>
      </c>
      <c r="F6" s="3" t="inlineStr">
        <is>
          <t>Harbor Inn Motel</t>
        </is>
      </c>
      <c r="G6" s="3" t="inlineStr">
        <is>
          <t>500 N Dixie Fwy</t>
        </is>
      </c>
      <c r="H6" s="3" t="inlineStr">
        <is>
          <t>New Smyrna Beach</t>
        </is>
      </c>
      <c r="I6" s="3" t="inlineStr">
        <is>
          <t>FL</t>
        </is>
      </c>
      <c r="J6" s="3" t="inlineStr">
        <is>
          <t>32168</t>
        </is>
      </c>
      <c r="M6" s="3" t="inlineStr">
        <is>
          <t>11:30</t>
        </is>
      </c>
      <c r="N6" s="3" t="inlineStr">
        <is>
          <t>14:00</t>
        </is>
      </c>
      <c r="O6" s="3" t="n">
        <v>20</v>
      </c>
      <c r="P6" s="3" t="inlineStr">
        <is>
          <t>Both</t>
        </is>
      </c>
      <c r="Q6" s="3" t="n">
        <v>150</v>
      </c>
    </row>
    <row r="7" ht="37.5" customFormat="1" customHeight="1" s="9">
      <c r="A7" s="3" t="inlineStr">
        <is>
          <t>2026-04-01</t>
        </is>
      </c>
      <c r="B7" s="3" t="inlineStr">
        <is>
          <t>Jake R.</t>
        </is>
      </c>
      <c r="C7" s="3" t="n">
        <v>1</v>
      </c>
      <c r="D7" s="3" t="inlineStr">
        <is>
          <t>JOB-0004</t>
        </is>
      </c>
      <c r="E7" s="3" t="inlineStr">
        <is>
          <t>CUST-0002</t>
        </is>
      </c>
      <c r="F7" s="3" t="inlineStr">
        <is>
          <t>Michael Torres</t>
        </is>
      </c>
      <c r="G7" s="3" t="inlineStr">
        <is>
          <t>47 Oceanview Dr</t>
        </is>
      </c>
      <c r="H7" s="3" t="inlineStr">
        <is>
          <t>Edgewater</t>
        </is>
      </c>
      <c r="I7" s="3" t="inlineStr">
        <is>
          <t>FL</t>
        </is>
      </c>
      <c r="J7" s="3" t="inlineStr">
        <is>
          <t>32141</t>
        </is>
      </c>
      <c r="M7" s="3" t="inlineStr">
        <is>
          <t>09:00</t>
        </is>
      </c>
      <c r="N7" s="3" t="inlineStr">
        <is>
          <t>10:00</t>
        </is>
      </c>
      <c r="O7" s="3" t="inlineStr">
        <is>
          <t>—</t>
        </is>
      </c>
      <c r="P7" s="3" t="inlineStr">
        <is>
          <t>Window</t>
        </is>
      </c>
      <c r="Q7" s="3" t="n">
        <v>60</v>
      </c>
    </row>
    <row r="8" ht="25" customFormat="1" customHeight="1" s="9">
      <c r="A8" s="3" t="inlineStr">
        <is>
          <t>2026-04-01</t>
        </is>
      </c>
      <c r="B8" s="3" t="inlineStr">
        <is>
          <t>Jake R.</t>
        </is>
      </c>
      <c r="C8" s="3" t="n">
        <v>2</v>
      </c>
      <c r="D8" s="3" t="inlineStr">
        <is>
          <t>JOB-0005</t>
        </is>
      </c>
      <c r="E8" s="3" t="inlineStr">
        <is>
          <t>CUST-0004</t>
        </is>
      </c>
      <c r="F8" s="3" t="inlineStr">
        <is>
          <t>Robert Martinez</t>
        </is>
      </c>
      <c r="G8" s="3" t="inlineStr">
        <is>
          <t>233 Pine Tree Rd</t>
        </is>
      </c>
      <c r="H8" s="3" t="inlineStr">
        <is>
          <t>Oak Hill</t>
        </is>
      </c>
      <c r="I8" s="3" t="inlineStr">
        <is>
          <t>FL</t>
        </is>
      </c>
      <c r="J8" s="3" t="inlineStr">
        <is>
          <t>32759</t>
        </is>
      </c>
      <c r="M8" s="3" t="inlineStr">
        <is>
          <t>11:00</t>
        </is>
      </c>
      <c r="N8" s="3" t="inlineStr">
        <is>
          <t>12:15</t>
        </is>
      </c>
      <c r="O8" s="3" t="n">
        <v>28</v>
      </c>
      <c r="P8" s="3" t="inlineStr">
        <is>
          <t>Pressure</t>
        </is>
      </c>
      <c r="Q8" s="3" t="n">
        <v>75</v>
      </c>
    </row>
    <row r="9" ht="25" customFormat="1" customHeight="1" s="9">
      <c r="A9" s="3" t="inlineStr">
        <is>
          <t>2026-04-02</t>
        </is>
      </c>
    </row>
    <row r="10" ht="25" customFormat="1" customHeight="1" s="9">
      <c r="A10" s="3" t="inlineStr">
        <is>
          <t>2026-04-03</t>
        </is>
      </c>
    </row>
    <row r="11" ht="25" customFormat="1" customHeight="1" s="9">
      <c r="A11" s="3" t="inlineStr">
        <is>
          <t>2026-04-04</t>
        </is>
      </c>
    </row>
    <row r="12" ht="25" customFormat="1" customHeight="1" s="9">
      <c r="A12" s="3" t="inlineStr">
        <is>
          <t>2026-04-05</t>
        </is>
      </c>
    </row>
    <row r="13" ht="25" customFormat="1" customHeight="1" s="9">
      <c r="A13" s="3" t="inlineStr">
        <is>
          <t>2026-04-06</t>
        </is>
      </c>
    </row>
    <row r="14" ht="25" customFormat="1" customHeight="1" s="9">
      <c r="A14" s="3" t="inlineStr">
        <is>
          <t>2026-04-07</t>
        </is>
      </c>
    </row>
    <row r="15" ht="25" customFormat="1" customHeight="1" s="9">
      <c r="A15" s="3" t="inlineStr">
        <is>
          <t>2026-04-08</t>
        </is>
      </c>
    </row>
    <row r="16" ht="25" customFormat="1" customHeight="1" s="9">
      <c r="A16" s="3" t="inlineStr">
        <is>
          <t>2026-04-09</t>
        </is>
      </c>
    </row>
    <row r="17" ht="25" customFormat="1" customHeight="1" s="9">
      <c r="A17" s="3" t="inlineStr">
        <is>
          <t>2026-04-10</t>
        </is>
      </c>
    </row>
    <row r="18" ht="25" customFormat="1" customHeight="1" s="9">
      <c r="A18" s="3" t="inlineStr">
        <is>
          <t>2026-04-11</t>
        </is>
      </c>
    </row>
    <row r="19" ht="25" customFormat="1" customHeight="1" s="9">
      <c r="A19" s="3" t="inlineStr">
        <is>
          <t>2026-04-12</t>
        </is>
      </c>
    </row>
    <row r="20" ht="25" customFormat="1" customHeight="1" s="9">
      <c r="A20" s="3" t="inlineStr">
        <is>
          <t>2026-04-13</t>
        </is>
      </c>
    </row>
    <row r="21" ht="25" customFormat="1" customHeight="1" s="9">
      <c r="A21" s="3" t="inlineStr">
        <is>
          <t>2026-04-14</t>
        </is>
      </c>
    </row>
    <row r="22" ht="25" customFormat="1" customHeight="1" s="9">
      <c r="A22" s="3" t="inlineStr">
        <is>
          <t>2026-04-15</t>
        </is>
      </c>
    </row>
    <row r="23" ht="25" customFormat="1" customHeight="1" s="9">
      <c r="A23" s="3" t="inlineStr">
        <is>
          <t>2026-04-16</t>
        </is>
      </c>
    </row>
    <row r="24" ht="25" customFormat="1" customHeight="1" s="9">
      <c r="A24" s="3" t="inlineStr">
        <is>
          <t>2026-04-17</t>
        </is>
      </c>
    </row>
    <row r="25" ht="25" customFormat="1" customHeight="1" s="9">
      <c r="A25" s="3" t="inlineStr">
        <is>
          <t>2026-04-18</t>
        </is>
      </c>
    </row>
    <row r="26" ht="25" customFormat="1" customHeight="1" s="9">
      <c r="A26" s="3" t="inlineStr">
        <is>
          <t>2026-04-19</t>
        </is>
      </c>
    </row>
    <row r="27" ht="25" customFormat="1" customHeight="1" s="9">
      <c r="A27" s="3" t="inlineStr">
        <is>
          <t>2026-04-20</t>
        </is>
      </c>
    </row>
    <row r="28" customFormat="1" s="9"/>
    <row r="29" customFormat="1" s="9"/>
    <row r="30" customFormat="1" s="9"/>
    <row r="31" customFormat="1" s="9"/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customFormat="1" s="9"/>
    <row r="85" customFormat="1" s="9"/>
    <row r="86" customFormat="1" s="9"/>
    <row r="87" customFormat="1" s="9"/>
    <row r="88" customFormat="1" s="9"/>
    <row r="89" customFormat="1" s="9"/>
    <row r="90" customFormat="1" s="9"/>
    <row r="91" customFormat="1" s="9"/>
    <row r="92" customFormat="1" s="9"/>
    <row r="93" customFormat="1" s="9"/>
    <row r="94" customFormat="1" s="9"/>
    <row r="95" customFormat="1" s="9"/>
    <row r="96" customFormat="1" s="9"/>
    <row r="97" customFormat="1" s="9"/>
    <row r="98" customFormat="1" s="9"/>
    <row r="99" customFormat="1" s="9"/>
    <row r="100" customFormat="1" s="9"/>
    <row r="101" customFormat="1" s="9"/>
    <row r="102" customFormat="1" s="9"/>
    <row r="103" customFormat="1" s="9"/>
    <row r="104" customFormat="1" s="9"/>
    <row r="105" customFormat="1" s="9"/>
    <row r="106" customFormat="1" s="9"/>
    <row r="107" customFormat="1" s="9"/>
    <row r="108" customFormat="1" s="9"/>
    <row r="109" customFormat="1" s="9"/>
    <row r="110" customFormat="1" s="9"/>
    <row r="111" customFormat="1" s="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ySplit="2" topLeftCell="A65" activePane="bottomLeft" state="frozen"/>
      <selection pane="bottomLeft" activeCell="E69" sqref="E69"/>
    </sheetView>
  </sheetViews>
  <sheetFormatPr baseColWidth="8" defaultRowHeight="14.5"/>
  <sheetData>
    <row r="1" ht="18" customHeight="1" s="11">
      <c r="A1" s="1" t="inlineStr">
        <is>
          <t>💰  QUOTES — Estimates Sent to Customers</t>
        </is>
      </c>
    </row>
    <row r="2" ht="65" customHeight="1" s="11">
      <c r="A2" s="2" t="inlineStr">
        <is>
          <t>QuoteID
(QTE-####)</t>
        </is>
      </c>
      <c r="B2" s="2" t="inlineStr">
        <is>
          <t>CustomerID</t>
        </is>
      </c>
      <c r="C2" s="2" t="inlineStr">
        <is>
          <t>Customer Name
/ Company</t>
        </is>
      </c>
      <c r="D2" s="2" t="inlineStr">
        <is>
          <t>Customer
Type</t>
        </is>
      </c>
      <c r="E2" s="2" t="inlineStr">
        <is>
          <t>Address</t>
        </is>
      </c>
      <c r="F2" s="2" t="inlineStr">
        <is>
          <t>City</t>
        </is>
      </c>
      <c r="G2" s="2" t="inlineStr">
        <is>
          <t>Quote
Date</t>
        </is>
      </c>
      <c r="H2" s="2" t="inlineStr">
        <is>
          <t>Valid
Until</t>
        </is>
      </c>
      <c r="I2" s="2" t="inlineStr">
        <is>
          <t>Service
Type</t>
        </is>
      </c>
      <c r="J2" s="2" t="inlineStr">
        <is>
          <t>Service
Description</t>
        </is>
      </c>
      <c r="K2" s="2" t="inlineStr">
        <is>
          <t>Sq Ft /
Units</t>
        </is>
      </c>
      <c r="L2" s="2" t="inlineStr">
        <is>
          <t>Unit
Price ($)</t>
        </is>
      </c>
      <c r="M2" s="2" t="inlineStr">
        <is>
          <t>Labor
Cost ($)</t>
        </is>
      </c>
      <c r="N2" s="2" t="inlineStr">
        <is>
          <t>Materials
($)</t>
        </is>
      </c>
      <c r="O2" s="2" t="inlineStr">
        <is>
          <t>Subtotal
($)</t>
        </is>
      </c>
      <c r="P2" s="2" t="inlineStr">
        <is>
          <t>Discount
(%)</t>
        </is>
      </c>
      <c r="Q2" s="2" t="inlineStr">
        <is>
          <t>Discount
Amt ($)</t>
        </is>
      </c>
      <c r="R2" s="2" t="inlineStr">
        <is>
          <t>Tax (7%)
($)</t>
        </is>
      </c>
      <c r="S2" s="2" t="inlineStr">
        <is>
          <t>QUOTE
TOTAL ($)</t>
        </is>
      </c>
      <c r="T2" s="2" t="inlineStr">
        <is>
          <t>Status
(Open/Approved/Declined)</t>
        </is>
      </c>
    </row>
    <row r="3" ht="75" customFormat="1" customHeight="1" s="9">
      <c r="A3" s="3" t="inlineStr">
        <is>
          <t>QTE-0001</t>
        </is>
      </c>
      <c r="B3" s="3" t="inlineStr">
        <is>
          <t>CUST-0001</t>
        </is>
      </c>
      <c r="C3" s="3" t="inlineStr">
        <is>
          <t>Sunshine Realty LLC</t>
        </is>
      </c>
      <c r="D3" s="3" t="inlineStr">
        <is>
          <t>Commercial</t>
        </is>
      </c>
      <c r="E3" s="3" t="inlineStr">
        <is>
          <t>125 Harbor Blvd</t>
        </is>
      </c>
      <c r="F3" s="3" t="inlineStr">
        <is>
          <t>New Smyrna Beach</t>
        </is>
      </c>
      <c r="G3" s="3" t="inlineStr">
        <is>
          <t>2026-03-25</t>
        </is>
      </c>
      <c r="H3" s="3" t="inlineStr">
        <is>
          <t>2026-04-25</t>
        </is>
      </c>
      <c r="I3" s="3" t="inlineStr">
        <is>
          <t>Window</t>
        </is>
      </c>
      <c r="J3" s="3" t="inlineStr">
        <is>
          <t>Full exterior window cleaning 12 windows</t>
        </is>
      </c>
      <c r="K3" s="3" t="n">
        <v>12</v>
      </c>
      <c r="L3" s="3" t="n">
        <v>25</v>
      </c>
      <c r="M3" s="3" t="n">
        <v>200</v>
      </c>
      <c r="N3" s="3" t="n">
        <v>0</v>
      </c>
      <c r="O3" s="4">
        <f>K3*L3+M3+N3</f>
        <v/>
      </c>
      <c r="P3" s="3" t="n">
        <v>0.1</v>
      </c>
      <c r="Q3" s="4">
        <f>O3*P3</f>
        <v/>
      </c>
      <c r="R3" s="4">
        <f>(O3-Q3)*0.07</f>
        <v/>
      </c>
      <c r="S3" s="4">
        <f>O3-Q3+R3</f>
        <v/>
      </c>
      <c r="T3" s="3" t="inlineStr">
        <is>
          <t>Open</t>
        </is>
      </c>
    </row>
    <row r="4" ht="50" customFormat="1" customHeight="1" s="9">
      <c r="A4" s="3" t="inlineStr">
        <is>
          <t>QTE-0002</t>
        </is>
      </c>
      <c r="B4" s="3" t="inlineStr">
        <is>
          <t>CUST-0002</t>
        </is>
      </c>
      <c r="C4" s="3" t="inlineStr">
        <is>
          <t>Michael Torres</t>
        </is>
      </c>
      <c r="D4" s="3" t="inlineStr">
        <is>
          <t>Residential</t>
        </is>
      </c>
      <c r="E4" s="3" t="inlineStr">
        <is>
          <t>47 Oceanview Dr</t>
        </is>
      </c>
      <c r="F4" s="3" t="inlineStr">
        <is>
          <t>Edgewater</t>
        </is>
      </c>
      <c r="G4" s="3" t="inlineStr">
        <is>
          <t>2026-03-26</t>
        </is>
      </c>
      <c r="H4" s="3" t="inlineStr">
        <is>
          <t>2026-04-26</t>
        </is>
      </c>
      <c r="I4" s="3" t="inlineStr">
        <is>
          <t>Window</t>
        </is>
      </c>
      <c r="J4" s="3" t="inlineStr">
        <is>
          <t>Whole house exterior 14 panes</t>
        </is>
      </c>
      <c r="K4" s="3" t="n">
        <v>14</v>
      </c>
      <c r="L4" s="3" t="n">
        <v>12</v>
      </c>
      <c r="M4" s="3" t="n">
        <v>100</v>
      </c>
      <c r="N4" s="3" t="n">
        <v>0</v>
      </c>
      <c r="O4" s="4">
        <f>K4*L4+M4+N4</f>
        <v/>
      </c>
      <c r="P4" s="3" t="n">
        <v>0</v>
      </c>
      <c r="Q4" s="4">
        <f>O4*P4</f>
        <v/>
      </c>
      <c r="R4" s="4">
        <f>(O4-Q4)*0.07</f>
        <v/>
      </c>
      <c r="S4" s="4">
        <f>O4-Q4+R4</f>
        <v/>
      </c>
      <c r="T4" s="3" t="inlineStr">
        <is>
          <t>Approved</t>
        </is>
      </c>
    </row>
    <row r="5" ht="75" customFormat="1" customHeight="1" s="9">
      <c r="A5" s="3" t="inlineStr">
        <is>
          <t>QTE-0003</t>
        </is>
      </c>
      <c r="B5" s="3" t="inlineStr">
        <is>
          <t>CUST-0006</t>
        </is>
      </c>
      <c r="C5" s="3" t="inlineStr">
        <is>
          <t>Prospect Corp</t>
        </is>
      </c>
      <c r="D5" s="3" t="inlineStr">
        <is>
          <t>Commercial</t>
        </is>
      </c>
      <c r="E5" s="3" t="inlineStr">
        <is>
          <t>TBD</t>
        </is>
      </c>
      <c r="F5" s="3" t="inlineStr">
        <is>
          <t>New Smyrna Beach</t>
        </is>
      </c>
      <c r="G5" s="3" t="inlineStr">
        <is>
          <t>2026-03-27</t>
        </is>
      </c>
      <c r="H5" s="3" t="inlineStr">
        <is>
          <t>2026-04-27</t>
        </is>
      </c>
      <c r="I5" s="3" t="inlineStr">
        <is>
          <t>Both</t>
        </is>
      </c>
      <c r="J5" s="3" t="inlineStr">
        <is>
          <t>Office building windows + parking lot pressure</t>
        </is>
      </c>
      <c r="K5" s="3" t="n">
        <v>1</v>
      </c>
      <c r="L5" s="3" t="n">
        <v>800</v>
      </c>
      <c r="M5" s="3" t="n">
        <v>350</v>
      </c>
      <c r="N5" s="3" t="n">
        <v>75</v>
      </c>
      <c r="O5" s="4">
        <f>K5*L5+M5+N5</f>
        <v/>
      </c>
      <c r="P5" s="3" t="n">
        <v>0.1</v>
      </c>
      <c r="Q5" s="4">
        <f>O5*P5</f>
        <v/>
      </c>
      <c r="R5" s="4">
        <f>(O5-Q5)*0.07</f>
        <v/>
      </c>
      <c r="S5" s="4">
        <f>O5-Q5+R5</f>
        <v/>
      </c>
      <c r="T5" s="3" t="inlineStr">
        <is>
          <t>Open</t>
        </is>
      </c>
    </row>
    <row r="6" ht="25" customFormat="1" customHeight="1" s="9">
      <c r="A6" s="3" t="n"/>
      <c r="B6" s="9" t="inlineStr">
        <is>
          <t>0009</t>
        </is>
      </c>
      <c r="C6" s="9" t="inlineStr">
        <is>
          <t>dfg</t>
        </is>
      </c>
      <c r="S6" s="9" t="inlineStr">
        <is>
          <t>120</t>
        </is>
      </c>
    </row>
    <row r="7" ht="25" customFormat="1" customHeight="1" s="9">
      <c r="A7" s="3" t="inlineStr">
        <is>
          <t>QTE-0005</t>
        </is>
      </c>
    </row>
    <row r="8" ht="25" customFormat="1" customHeight="1" s="9">
      <c r="A8" s="3" t="inlineStr">
        <is>
          <t>QTE-0006</t>
        </is>
      </c>
    </row>
    <row r="9" ht="25" customFormat="1" customHeight="1" s="9">
      <c r="A9" s="3" t="inlineStr">
        <is>
          <t>QTE-0007</t>
        </is>
      </c>
    </row>
    <row r="10" ht="25" customFormat="1" customHeight="1" s="9">
      <c r="A10" s="3" t="inlineStr">
        <is>
          <t>QTE-0008</t>
        </is>
      </c>
    </row>
    <row r="11" ht="25" customFormat="1" customHeight="1" s="9">
      <c r="A11" s="3" t="inlineStr">
        <is>
          <t>QTE-0009</t>
        </is>
      </c>
    </row>
    <row r="12" ht="25" customFormat="1" customHeight="1" s="9">
      <c r="A12" s="3" t="inlineStr">
        <is>
          <t>QTE-0010</t>
        </is>
      </c>
    </row>
    <row r="13" ht="25" customFormat="1" customHeight="1" s="9">
      <c r="A13" s="3" t="inlineStr">
        <is>
          <t>QTE-0011</t>
        </is>
      </c>
    </row>
    <row r="14" ht="25" customFormat="1" customHeight="1" s="9">
      <c r="A14" s="3" t="inlineStr">
        <is>
          <t>QTE-0012</t>
        </is>
      </c>
    </row>
    <row r="15" ht="25" customFormat="1" customHeight="1" s="9">
      <c r="A15" s="3" t="inlineStr">
        <is>
          <t>QTE-0013</t>
        </is>
      </c>
    </row>
    <row r="16" ht="25" customFormat="1" customHeight="1" s="9">
      <c r="A16" s="3" t="inlineStr">
        <is>
          <t>QTE-0014</t>
        </is>
      </c>
    </row>
    <row r="17" ht="25" customFormat="1" customHeight="1" s="9">
      <c r="A17" s="3" t="inlineStr">
        <is>
          <t>QTE-0015</t>
        </is>
      </c>
    </row>
    <row r="18" ht="25" customFormat="1" customHeight="1" s="9">
      <c r="A18" s="3" t="inlineStr">
        <is>
          <t>QTE-0016</t>
        </is>
      </c>
    </row>
    <row r="19" ht="25" customFormat="1" customHeight="1" s="9">
      <c r="A19" s="3" t="inlineStr">
        <is>
          <t>QTE-0017</t>
        </is>
      </c>
    </row>
    <row r="20" ht="25" customFormat="1" customHeight="1" s="9">
      <c r="A20" s="3" t="inlineStr">
        <is>
          <t>QTE-0018</t>
        </is>
      </c>
    </row>
    <row r="21" ht="25" customFormat="1" customHeight="1" s="9">
      <c r="A21" s="3" t="inlineStr">
        <is>
          <t>QTE-0019</t>
        </is>
      </c>
    </row>
    <row r="22" ht="25" customFormat="1" customHeight="1" s="9">
      <c r="A22" s="3" t="inlineStr">
        <is>
          <t>QTE-0020</t>
        </is>
      </c>
    </row>
    <row r="23" ht="25" customFormat="1" customHeight="1" s="9">
      <c r="A23" s="3" t="inlineStr">
        <is>
          <t>QTE-0021</t>
        </is>
      </c>
    </row>
    <row r="24" ht="25" customFormat="1" customHeight="1" s="9">
      <c r="A24" s="3" t="inlineStr">
        <is>
          <t>QTE-0022</t>
        </is>
      </c>
    </row>
    <row r="25" ht="25" customFormat="1" customHeight="1" s="9">
      <c r="A25" s="3" t="inlineStr">
        <is>
          <t>QTE-0023</t>
        </is>
      </c>
    </row>
    <row r="26" ht="25" customFormat="1" customHeight="1" s="9">
      <c r="A26" s="3" t="inlineStr">
        <is>
          <t>QTE-0024</t>
        </is>
      </c>
    </row>
    <row r="27" ht="25" customFormat="1" customHeight="1" s="9">
      <c r="A27" s="3" t="inlineStr">
        <is>
          <t>QTE-0025</t>
        </is>
      </c>
    </row>
    <row r="28" ht="25" customFormat="1" customHeight="1" s="9">
      <c r="A28" s="3" t="inlineStr">
        <is>
          <t>QTE-0026</t>
        </is>
      </c>
    </row>
    <row r="29" ht="25" customFormat="1" customHeight="1" s="9">
      <c r="A29" s="3" t="inlineStr">
        <is>
          <t>QTE-0027</t>
        </is>
      </c>
    </row>
    <row r="30" ht="25" customFormat="1" customHeight="1" s="9">
      <c r="A30" s="3" t="inlineStr">
        <is>
          <t>QTE-0028</t>
        </is>
      </c>
    </row>
    <row r="31" ht="25" customFormat="1" customHeight="1" s="9">
      <c r="A31" s="3" t="inlineStr">
        <is>
          <t>QTE-0029</t>
        </is>
      </c>
    </row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ySplit="2" topLeftCell="A3" activePane="bottomLeft" state="frozen"/>
      <selection pane="bottomLeft" activeCell="D73" sqref="D73"/>
    </sheetView>
  </sheetViews>
  <sheetFormatPr baseColWidth="8" defaultRowHeight="14.5"/>
  <sheetData>
    <row r="1" ht="18" customHeight="1" s="11">
      <c r="A1" s="1" t="inlineStr">
        <is>
          <t>🧾  INVOICES — Billing &amp; Payment Tracking</t>
        </is>
      </c>
    </row>
    <row r="2" ht="65" customHeight="1" s="11">
      <c r="A2" s="2" t="inlineStr">
        <is>
          <t>InvoiceID
(INV-####)</t>
        </is>
      </c>
      <c r="B2" s="2" t="inlineStr">
        <is>
          <t>JobID
(JOB-####)</t>
        </is>
      </c>
      <c r="C2" s="2" t="inlineStr">
        <is>
          <t>CustomerID</t>
        </is>
      </c>
      <c r="D2" s="2" t="inlineStr">
        <is>
          <t>Customer Name
/ Company</t>
        </is>
      </c>
      <c r="E2" s="2" t="inlineStr">
        <is>
          <t>Customer
Type</t>
        </is>
      </c>
      <c r="F2" s="2" t="inlineStr">
        <is>
          <t>Invoice
Date</t>
        </is>
      </c>
      <c r="G2" s="2" t="inlineStr">
        <is>
          <t>Due
Date
(Net 30)</t>
        </is>
      </c>
      <c r="H2" s="2" t="inlineStr">
        <is>
          <t>Service
Date</t>
        </is>
      </c>
      <c r="I2" s="2" t="inlineStr">
        <is>
          <t>Service
Type</t>
        </is>
      </c>
      <c r="J2" s="2" t="inlineStr">
        <is>
          <t>Description</t>
        </is>
      </c>
      <c r="K2" s="2" t="inlineStr">
        <is>
          <t>Subtotal
($)</t>
        </is>
      </c>
      <c r="L2" s="2" t="inlineStr">
        <is>
          <t>Discount
($)</t>
        </is>
      </c>
      <c r="M2" s="2" t="inlineStr">
        <is>
          <t>Taxable
Amt ($)
=K-L</t>
        </is>
      </c>
      <c r="N2" s="2" t="inlineStr">
        <is>
          <t>Tax 7%
($)
=M*0.07</t>
        </is>
      </c>
      <c r="O2" s="2" t="inlineStr">
        <is>
          <t>TOTAL
DUE ($)
=M+N</t>
        </is>
      </c>
      <c r="P2" s="2" t="inlineStr">
        <is>
          <t>Amount
Paid ($)</t>
        </is>
      </c>
      <c r="Q2" s="2" t="inlineStr">
        <is>
          <t>Balance
Due ($)
=O-P</t>
        </is>
      </c>
      <c r="R2" s="2" t="inlineStr">
        <is>
          <t>Payment
Status</t>
        </is>
      </c>
      <c r="S2" s="2" t="inlineStr">
        <is>
          <t>Payment
Date</t>
        </is>
      </c>
      <c r="T2" s="2" t="inlineStr">
        <is>
          <t>Payment
Method</t>
        </is>
      </c>
      <c r="U2" s="2" t="inlineStr">
        <is>
          <t>Days
Overdue
(AI-AR)</t>
        </is>
      </c>
    </row>
    <row r="3" ht="62.5" customFormat="1" customHeight="1" s="9">
      <c r="A3" s="3" t="inlineStr">
        <is>
          <t>INV-0001</t>
        </is>
      </c>
      <c r="B3" s="3" t="inlineStr">
        <is>
          <t>JOB-0001</t>
        </is>
      </c>
      <c r="C3" s="3" t="inlineStr">
        <is>
          <t>CUST-0001</t>
        </is>
      </c>
      <c r="D3" s="3" t="inlineStr">
        <is>
          <t>Sunshine Realty LLC</t>
        </is>
      </c>
      <c r="E3" s="3" t="inlineStr">
        <is>
          <t>Commercial</t>
        </is>
      </c>
      <c r="F3" s="3" t="inlineStr">
        <is>
          <t>2026-03-30</t>
        </is>
      </c>
      <c r="G3" s="3" t="inlineStr">
        <is>
          <t>2026-04-29</t>
        </is>
      </c>
      <c r="H3" s="3" t="inlineStr">
        <is>
          <t>2026-03-30</t>
        </is>
      </c>
      <c r="I3" s="3" t="inlineStr">
        <is>
          <t>Window</t>
        </is>
      </c>
      <c r="J3" s="3" t="inlineStr">
        <is>
          <t>Exterior window cleaning — 12 windows</t>
        </is>
      </c>
      <c r="K3" s="3" t="n">
        <v>350</v>
      </c>
      <c r="L3" s="3" t="n">
        <v>35</v>
      </c>
      <c r="M3" s="4">
        <f>K3-L3</f>
        <v/>
      </c>
      <c r="N3" s="4">
        <f>M3*0.07</f>
        <v/>
      </c>
      <c r="O3" s="4">
        <f>M3+N3</f>
        <v/>
      </c>
      <c r="P3" s="3" t="n">
        <v>0</v>
      </c>
      <c r="Q3" s="4">
        <f>O3-P3</f>
        <v/>
      </c>
      <c r="R3" s="3" t="inlineStr">
        <is>
          <t>Unpaid</t>
        </is>
      </c>
      <c r="U3" s="4">
        <f>IF(R3="Paid",0,IF(TODAY()&gt;G3,TODAY()-G3,0))</f>
        <v/>
      </c>
    </row>
    <row r="4" ht="62.5" customFormat="1" customHeight="1" s="9">
      <c r="A4" s="3" t="inlineStr">
        <is>
          <t>INV-0002</t>
        </is>
      </c>
      <c r="B4" s="3" t="inlineStr">
        <is>
          <t>JOB-0002</t>
        </is>
      </c>
      <c r="C4" s="3" t="inlineStr">
        <is>
          <t>CUST-0003</t>
        </is>
      </c>
      <c r="D4" s="3" t="inlineStr">
        <is>
          <t>Blue Wave Cafe</t>
        </is>
      </c>
      <c r="E4" s="3" t="inlineStr">
        <is>
          <t>Commercial</t>
        </is>
      </c>
      <c r="F4" s="3" t="inlineStr">
        <is>
          <t>2026-03-30</t>
        </is>
      </c>
      <c r="G4" s="3" t="inlineStr">
        <is>
          <t>2026-04-29</t>
        </is>
      </c>
      <c r="H4" s="3" t="inlineStr">
        <is>
          <t>2026-03-30</t>
        </is>
      </c>
      <c r="I4" s="3" t="inlineStr">
        <is>
          <t>Window</t>
        </is>
      </c>
      <c r="J4" s="3" t="inlineStr">
        <is>
          <t>Storefront glass cleaning — 3 panels</t>
        </is>
      </c>
      <c r="K4" s="3" t="n">
        <v>220</v>
      </c>
      <c r="L4" s="3" t="n">
        <v>11</v>
      </c>
      <c r="M4" s="4">
        <f>K4-L4</f>
        <v/>
      </c>
      <c r="N4" s="4">
        <f>M4*0.07</f>
        <v/>
      </c>
      <c r="O4" s="4">
        <f>M4+N4</f>
        <v/>
      </c>
      <c r="P4" s="3" t="n">
        <v>0</v>
      </c>
      <c r="Q4" s="4">
        <f>O4-P4</f>
        <v/>
      </c>
      <c r="R4" s="3" t="inlineStr">
        <is>
          <t>Unpaid</t>
        </is>
      </c>
      <c r="U4" s="4">
        <f>IF(R4="Paid",0,IF(TODAY()&gt;G4,TODAY()-G4,0))</f>
        <v/>
      </c>
    </row>
    <row r="5" ht="75" customFormat="1" customHeight="1" s="9">
      <c r="A5" s="3" t="inlineStr">
        <is>
          <t>INV-0003</t>
        </is>
      </c>
      <c r="B5" s="3" t="inlineStr">
        <is>
          <t>JOB-0003</t>
        </is>
      </c>
      <c r="C5" s="3" t="inlineStr">
        <is>
          <t>CUST-0005</t>
        </is>
      </c>
      <c r="D5" s="3" t="inlineStr">
        <is>
          <t>Harbor Inn Motel</t>
        </is>
      </c>
      <c r="E5" s="3" t="inlineStr">
        <is>
          <t>Commercial</t>
        </is>
      </c>
      <c r="F5" s="3" t="inlineStr">
        <is>
          <t>2026-03-30</t>
        </is>
      </c>
      <c r="G5" s="3" t="inlineStr">
        <is>
          <t>2026-04-29</t>
        </is>
      </c>
      <c r="H5" s="3" t="inlineStr">
        <is>
          <t>2026-03-30</t>
        </is>
      </c>
      <c r="I5" s="3" t="inlineStr">
        <is>
          <t>Both</t>
        </is>
      </c>
      <c r="J5" s="3" t="inlineStr">
        <is>
          <t>Lobby windows + parking lot pressure wash</t>
        </is>
      </c>
      <c r="K5" s="3" t="n">
        <v>625</v>
      </c>
      <c r="L5" s="3" t="n">
        <v>93.75</v>
      </c>
      <c r="M5" s="4">
        <f>K5-L5</f>
        <v/>
      </c>
      <c r="N5" s="4">
        <f>M5*0.07</f>
        <v/>
      </c>
      <c r="O5" s="4">
        <f>M5+N5</f>
        <v/>
      </c>
      <c r="P5" s="3" t="n">
        <v>0</v>
      </c>
      <c r="Q5" s="4">
        <f>O5-P5</f>
        <v/>
      </c>
      <c r="R5" s="3" t="inlineStr">
        <is>
          <t>Unpaid</t>
        </is>
      </c>
      <c r="U5" s="4">
        <f>IF(R5="Paid",0,IF(TODAY()&gt;G5,TODAY()-G5,0))</f>
        <v/>
      </c>
    </row>
    <row r="6" customFormat="1" s="9">
      <c r="A6" s="3" t="inlineStr">
        <is>
          <t>INV-0004</t>
        </is>
      </c>
      <c r="P6" s="9" t="inlineStr">
        <is>
          <t>10</t>
        </is>
      </c>
    </row>
    <row r="7" customFormat="1" s="9">
      <c r="A7" s="3" t="inlineStr">
        <is>
          <t>INV-0005</t>
        </is>
      </c>
    </row>
    <row r="8" customFormat="1" s="9">
      <c r="A8" s="3" t="inlineStr">
        <is>
          <t>INV-0006</t>
        </is>
      </c>
    </row>
    <row r="9" customFormat="1" s="9">
      <c r="A9" s="3" t="inlineStr">
        <is>
          <t>INV-0007</t>
        </is>
      </c>
    </row>
    <row r="10" customFormat="1" s="9">
      <c r="A10" s="3" t="inlineStr">
        <is>
          <t>INV-0008</t>
        </is>
      </c>
    </row>
    <row r="11" customFormat="1" s="9">
      <c r="A11" s="3" t="inlineStr">
        <is>
          <t>INV-0009</t>
        </is>
      </c>
    </row>
    <row r="12" customFormat="1" s="9">
      <c r="A12" s="3" t="inlineStr">
        <is>
          <t>INV-0010</t>
        </is>
      </c>
    </row>
    <row r="13" customFormat="1" s="9">
      <c r="A13" s="3" t="inlineStr">
        <is>
          <t>INV-0011</t>
        </is>
      </c>
    </row>
    <row r="14" customFormat="1" s="9">
      <c r="A14" s="3" t="inlineStr">
        <is>
          <t>INV-0012</t>
        </is>
      </c>
    </row>
    <row r="15" customFormat="1" s="9">
      <c r="A15" s="3" t="inlineStr">
        <is>
          <t>INV-0013</t>
        </is>
      </c>
    </row>
    <row r="16" customFormat="1" s="9">
      <c r="A16" s="3" t="inlineStr">
        <is>
          <t>INV-0014</t>
        </is>
      </c>
    </row>
    <row r="17" customFormat="1" s="9">
      <c r="A17" s="3" t="inlineStr">
        <is>
          <t>INV-0015</t>
        </is>
      </c>
    </row>
    <row r="18" customFormat="1" s="9">
      <c r="A18" s="3" t="inlineStr">
        <is>
          <t>INV-0016</t>
        </is>
      </c>
    </row>
    <row r="19" customFormat="1" s="9">
      <c r="A19" s="3" t="inlineStr">
        <is>
          <t>INV-0017</t>
        </is>
      </c>
    </row>
    <row r="20" customFormat="1" s="9">
      <c r="A20" s="3" t="inlineStr">
        <is>
          <t>INV-0018</t>
        </is>
      </c>
    </row>
    <row r="21" customFormat="1" s="9">
      <c r="A21" s="3" t="inlineStr">
        <is>
          <t>INV-0019</t>
        </is>
      </c>
    </row>
    <row r="22" customFormat="1" s="9">
      <c r="A22" s="3" t="inlineStr">
        <is>
          <t>INV-0020</t>
        </is>
      </c>
    </row>
    <row r="23" customFormat="1" s="9">
      <c r="A23" s="3" t="inlineStr">
        <is>
          <t>INV-0021</t>
        </is>
      </c>
    </row>
    <row r="24" customFormat="1" s="9">
      <c r="A24" s="3" t="inlineStr">
        <is>
          <t>INV-0022</t>
        </is>
      </c>
    </row>
    <row r="25" customFormat="1" s="9">
      <c r="A25" s="3" t="inlineStr">
        <is>
          <t>INV-0023</t>
        </is>
      </c>
    </row>
    <row r="26" customFormat="1" s="9">
      <c r="A26" s="3" t="inlineStr">
        <is>
          <t>INV-0024</t>
        </is>
      </c>
    </row>
    <row r="27" customFormat="1" s="9">
      <c r="A27" s="3" t="inlineStr">
        <is>
          <t>INV-0025</t>
        </is>
      </c>
    </row>
    <row r="28" customFormat="1" s="9">
      <c r="A28" s="3" t="inlineStr">
        <is>
          <t>INV-0026</t>
        </is>
      </c>
    </row>
    <row r="29" customFormat="1" s="9">
      <c r="A29" s="3" t="inlineStr">
        <is>
          <t>INV-0027</t>
        </is>
      </c>
    </row>
    <row r="30" customFormat="1" s="9">
      <c r="A30" s="3" t="inlineStr">
        <is>
          <t>INV-0028</t>
        </is>
      </c>
    </row>
    <row r="31" customFormat="1" s="9"/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customFormat="1" s="9"/>
    <row r="85" customFormat="1" s="9"/>
    <row r="86" customFormat="1" s="9"/>
    <row r="87" customFormat="1" s="9"/>
    <row r="88" customFormat="1" s="9"/>
    <row r="89" customFormat="1" s="9"/>
    <row r="90" customFormat="1" s="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C4" sqref="C4"/>
    </sheetView>
  </sheetViews>
  <sheetFormatPr baseColWidth="8" defaultRowHeight="14.5"/>
  <cols>
    <col width="24" customWidth="1" style="11" min="10" max="11"/>
  </cols>
  <sheetData>
    <row r="1" ht="18" customHeight="1" s="11">
      <c r="A1" s="1" t="inlineStr">
        <is>
          <t>⏱️  TIME LOG — Job Clock In / Clock Out</t>
        </is>
      </c>
    </row>
    <row r="2" ht="52" customHeight="1" s="11">
      <c r="A2" s="2" t="inlineStr">
        <is>
          <t>EntryID</t>
        </is>
      </c>
      <c r="B2" s="2" t="inlineStr">
        <is>
          <t>JobID</t>
        </is>
      </c>
      <c r="C2" s="2" t="inlineStr">
        <is>
          <t>Customer Name / Company</t>
        </is>
      </c>
      <c r="D2" s="2" t="inlineStr">
        <is>
          <t>Date</t>
        </is>
      </c>
      <c r="E2" s="2" t="inlineStr">
        <is>
          <t>Clock In
(HH:MM:SS)</t>
        </is>
      </c>
      <c r="F2" s="2" t="inlineStr">
        <is>
          <t>Clock Out
(HH:MM:SS)</t>
        </is>
      </c>
      <c r="G2" s="2" t="inlineStr">
        <is>
          <t>Elapsed
(min)
=(Out-In)*1440</t>
        </is>
      </c>
      <c r="H2" s="2" t="inlineStr">
        <is>
          <t>Crew /
Technician</t>
        </is>
      </c>
      <c r="I2" s="2" t="inlineStr">
        <is>
          <t>Notes</t>
        </is>
      </c>
      <c r="J2" s="2" t="inlineStr">
        <is>
          <t>Clock In GPS</t>
        </is>
      </c>
      <c r="K2" s="2" t="inlineStr">
        <is>
          <t>Clock Out GPS</t>
        </is>
      </c>
    </row>
    <row r="3" ht="62.5" customFormat="1" customHeight="1" s="9">
      <c r="A3" s="3" t="inlineStr">
        <is>
          <t>TE-0001</t>
        </is>
      </c>
      <c r="B3" s="3" t="inlineStr">
        <is>
          <t>JOB-0001</t>
        </is>
      </c>
      <c r="C3" s="3" t="inlineStr">
        <is>
          <t>Sunshine Realty LLC</t>
        </is>
      </c>
      <c r="D3" s="3" t="inlineStr">
        <is>
          <t>2026-03-30</t>
        </is>
      </c>
      <c r="E3" s="3" t="inlineStr">
        <is>
          <t>08:02:15</t>
        </is>
      </c>
      <c r="F3" s="3" t="inlineStr">
        <is>
          <t>09:28:44</t>
        </is>
      </c>
      <c r="G3" s="3" t="n">
        <v>86</v>
      </c>
      <c r="H3" s="3" t="inlineStr">
        <is>
          <t>Mike C.</t>
        </is>
      </c>
      <c r="I3" s="3" t="inlineStr">
        <is>
          <t>Clocked via AI-Prowler log_time_entry</t>
        </is>
      </c>
    </row>
    <row r="4" customFormat="1" s="9">
      <c r="A4" s="3" t="inlineStr">
        <is>
          <t>TE-0002</t>
        </is>
      </c>
      <c r="C4" s="9" t="inlineStr">
        <is>
          <t>abc</t>
        </is>
      </c>
    </row>
    <row r="5" customFormat="1" s="9">
      <c r="A5" s="3" t="inlineStr">
        <is>
          <t>TE-0003</t>
        </is>
      </c>
    </row>
    <row r="6" customFormat="1" s="9">
      <c r="A6" s="3" t="inlineStr">
        <is>
          <t>TE-0004</t>
        </is>
      </c>
    </row>
    <row r="7" customFormat="1" s="9">
      <c r="A7" s="3" t="inlineStr">
        <is>
          <t>TE-0005</t>
        </is>
      </c>
    </row>
    <row r="8" customFormat="1" s="9">
      <c r="A8" s="3" t="inlineStr">
        <is>
          <t>TE-0006</t>
        </is>
      </c>
    </row>
    <row r="9" customFormat="1" s="9">
      <c r="A9" s="3" t="inlineStr">
        <is>
          <t>TE-0007</t>
        </is>
      </c>
    </row>
    <row r="10" customFormat="1" s="9">
      <c r="A10" s="3" t="inlineStr">
        <is>
          <t>TE-0008</t>
        </is>
      </c>
    </row>
    <row r="11" customFormat="1" s="9">
      <c r="A11" s="3" t="inlineStr">
        <is>
          <t>TE-0009</t>
        </is>
      </c>
    </row>
    <row r="12" customFormat="1" s="9">
      <c r="A12" s="3" t="inlineStr">
        <is>
          <t>TE-0010</t>
        </is>
      </c>
    </row>
    <row r="13" customFormat="1" s="9">
      <c r="A13" s="3" t="inlineStr">
        <is>
          <t>TE-0011</t>
        </is>
      </c>
    </row>
    <row r="14" customFormat="1" s="9">
      <c r="A14" s="3" t="inlineStr">
        <is>
          <t>TE-0012</t>
        </is>
      </c>
    </row>
    <row r="15" customFormat="1" s="9">
      <c r="A15" s="3" t="inlineStr">
        <is>
          <t>TE-0013</t>
        </is>
      </c>
    </row>
    <row r="16" customFormat="1" s="9">
      <c r="A16" s="3" t="inlineStr">
        <is>
          <t>TE-0014</t>
        </is>
      </c>
    </row>
    <row r="17" customFormat="1" s="9">
      <c r="A17" s="3" t="inlineStr">
        <is>
          <t>TE-0015</t>
        </is>
      </c>
    </row>
    <row r="18" customFormat="1" s="9">
      <c r="A18" s="3" t="inlineStr">
        <is>
          <t>TE-0016</t>
        </is>
      </c>
    </row>
    <row r="19" customFormat="1" s="9">
      <c r="A19" s="3" t="inlineStr">
        <is>
          <t>TE-0017</t>
        </is>
      </c>
    </row>
    <row r="20" customFormat="1" s="9">
      <c r="A20" s="3" t="inlineStr">
        <is>
          <t>TE-0018</t>
        </is>
      </c>
    </row>
    <row r="21" customFormat="1" s="9">
      <c r="A21" s="3" t="inlineStr">
        <is>
          <t>TE-0019</t>
        </is>
      </c>
    </row>
    <row r="22" customFormat="1" s="9">
      <c r="A22" s="3" t="inlineStr">
        <is>
          <t>TE-0020</t>
        </is>
      </c>
    </row>
    <row r="23" customFormat="1" s="9">
      <c r="A23" s="3" t="inlineStr">
        <is>
          <t>TE-0021</t>
        </is>
      </c>
    </row>
    <row r="24" customFormat="1" s="9">
      <c r="A24" s="3" t="inlineStr">
        <is>
          <t>TE-0022</t>
        </is>
      </c>
    </row>
    <row r="25" customFormat="1" s="9">
      <c r="A25" s="3" t="inlineStr">
        <is>
          <t>TE-0023</t>
        </is>
      </c>
    </row>
    <row r="26" customFormat="1" s="9">
      <c r="A26" s="3" t="inlineStr">
        <is>
          <t>TE-0024</t>
        </is>
      </c>
    </row>
    <row r="27" customFormat="1" s="9">
      <c r="A27" s="3" t="inlineStr">
        <is>
          <t>TE-0025</t>
        </is>
      </c>
    </row>
    <row r="28" customFormat="1" s="9">
      <c r="A28" s="3" t="inlineStr">
        <is>
          <t>TE-0026</t>
        </is>
      </c>
    </row>
    <row r="29" customFormat="1" s="9">
      <c r="A29" s="3" t="inlineStr">
        <is>
          <t>TE-0027</t>
        </is>
      </c>
    </row>
    <row r="30" customFormat="1" s="9">
      <c r="A30" s="3" t="inlineStr">
        <is>
          <t>TE-0028</t>
        </is>
      </c>
    </row>
    <row r="31" customFormat="1" s="9">
      <c r="A31" s="3" t="inlineStr">
        <is>
          <t>TE-0029</t>
        </is>
      </c>
    </row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customFormat="1" s="9"/>
    <row r="85" customFormat="1" s="9"/>
    <row r="86" customFormat="1" s="9"/>
    <row r="87" customFormat="1" s="9"/>
    <row r="88" customFormat="1" s="9"/>
    <row r="89" customFormat="1" s="9"/>
    <row r="90" customFormat="1" s="9"/>
    <row r="91" customFormat="1" s="9"/>
    <row r="92" customFormat="1" s="9"/>
    <row r="93" customFormat="1" s="9"/>
    <row r="94" customFormat="1" s="9"/>
    <row r="95" customFormat="1" s="9"/>
    <row r="96" customFormat="1" s="9"/>
    <row r="97" customFormat="1" s="9"/>
    <row r="98" customFormat="1" s="9"/>
    <row r="99" customFormat="1" s="9"/>
    <row r="100" customFormat="1" s="9"/>
    <row r="101" customFormat="1" s="9"/>
    <row r="102" customFormat="1" s="9"/>
    <row r="103" customFormat="1" s="9"/>
    <row r="104" customFormat="1" s="9"/>
    <row r="105" customFormat="1" s="9"/>
    <row r="106" customFormat="1" s="9"/>
    <row r="107" customFormat="1" s="9"/>
    <row r="108" customFormat="1" s="9"/>
    <row r="109" customFormat="1" s="9"/>
    <row r="110" customFormat="1" s="9"/>
    <row r="111" customFormat="1" s="9"/>
    <row r="112" customFormat="1" s="9"/>
    <row r="113" customFormat="1" s="9"/>
    <row r="114" customFormat="1" s="9"/>
    <row r="115" customFormat="1" s="9"/>
    <row r="116" customFormat="1" s="9"/>
    <row r="117" customFormat="1" s="9"/>
    <row r="118" customFormat="1" s="9"/>
    <row r="119" customFormat="1" s="9"/>
    <row r="120" customFormat="1" s="9"/>
    <row r="121" customFormat="1" s="9"/>
    <row r="122" customFormat="1" s="9"/>
    <row r="123" customFormat="1" s="9"/>
    <row r="124" customFormat="1" s="9"/>
    <row r="125" customFormat="1" s="9"/>
    <row r="126" customFormat="1" s="9"/>
    <row r="127" customFormat="1" s="9"/>
    <row r="128" customFormat="1" s="9"/>
    <row r="129" customFormat="1" s="9"/>
    <row r="130" customFormat="1" s="9"/>
    <row r="131" customFormat="1" s="9"/>
    <row r="132" customFormat="1" s="9"/>
    <row r="133" customFormat="1" s="9"/>
    <row r="134" customFormat="1" s="9"/>
    <row r="135" customFormat="1" s="9"/>
    <row r="136" customFormat="1" s="9"/>
    <row r="137" customFormat="1" s="9"/>
    <row r="138" customFormat="1" s="9"/>
    <row r="139" customFormat="1" s="9"/>
    <row r="140" customFormat="1" s="9"/>
    <row r="141" customFormat="1" s="9"/>
    <row r="142" customFormat="1" s="9"/>
    <row r="143" customFormat="1" s="9"/>
    <row r="144" customFormat="1" s="9"/>
    <row r="145" customFormat="1" s="9"/>
    <row r="146" customFormat="1" s="9"/>
    <row r="147" customFormat="1" s="9"/>
    <row r="148" customFormat="1" s="9"/>
    <row r="149" customFormat="1" s="9"/>
    <row r="150" customFormat="1" s="9"/>
    <row r="151" customFormat="1" s="9"/>
    <row r="152" customFormat="1" s="9"/>
    <row r="153" customFormat="1" s="9"/>
    <row r="154" customFormat="1" s="9"/>
    <row r="155" customFormat="1" s="9"/>
    <row r="156" customFormat="1" s="9"/>
    <row r="157" customFormat="1" s="9"/>
    <row r="158" customFormat="1" s="9"/>
    <row r="159" customFormat="1" s="9"/>
    <row r="160" customFormat="1" s="9"/>
    <row r="161" customFormat="1" s="9"/>
    <row r="162" customFormat="1" s="9"/>
    <row r="163" customFormat="1" s="9"/>
    <row r="164" customFormat="1" s="9"/>
    <row r="165" customFormat="1" s="9"/>
    <row r="166" customFormat="1" s="9"/>
    <row r="167" customFormat="1" s="9"/>
    <row r="168" customFormat="1" s="9"/>
    <row r="169" customFormat="1" s="9"/>
    <row r="170" customFormat="1" s="9"/>
    <row r="171" customFormat="1" s="9"/>
    <row r="172" customFormat="1" s="9"/>
    <row r="173" customFormat="1" s="9"/>
    <row r="174" customFormat="1" s="9"/>
    <row r="175" customFormat="1" s="9"/>
    <row r="176" customFormat="1" s="9"/>
    <row r="177" customFormat="1" s="9"/>
    <row r="178" customFormat="1" s="9"/>
    <row r="179" customFormat="1" s="9"/>
    <row r="180" customFormat="1" s="9"/>
    <row r="181" customFormat="1" s="9"/>
    <row r="182" customFormat="1" s="9"/>
    <row r="183" customFormat="1" s="9"/>
    <row r="184" customFormat="1" s="9"/>
    <row r="185" customFormat="1" s="9"/>
    <row r="186" customFormat="1" s="9"/>
    <row r="187" customFormat="1" s="9"/>
    <row r="188" customFormat="1" s="9"/>
    <row r="189" customFormat="1" s="9"/>
    <row r="190" customFormat="1" s="9"/>
    <row r="191" customFormat="1" s="9"/>
    <row r="192" customFormat="1" s="9"/>
    <row r="193" customFormat="1" s="9"/>
    <row r="194" customFormat="1" s="9"/>
    <row r="195" customFormat="1" s="9"/>
    <row r="196" customFormat="1" s="9"/>
    <row r="197" customFormat="1" s="9"/>
    <row r="198" customFormat="1" s="9"/>
    <row r="199" customFormat="1" s="9"/>
    <row r="200" customFormat="1" s="9"/>
    <row r="201" customFormat="1" s="9"/>
    <row r="202" customFormat="1" s="9"/>
    <row r="203" customFormat="1" s="9"/>
    <row r="204" customFormat="1" s="9"/>
    <row r="205" customFormat="1" s="9"/>
    <row r="206" customFormat="1" s="9"/>
    <row r="207" customFormat="1" s="9"/>
    <row r="208" customFormat="1" s="9"/>
    <row r="209" customFormat="1" s="9"/>
    <row r="210" customFormat="1" s="9"/>
    <row r="211" customFormat="1" s="9"/>
    <row r="212" customFormat="1" s="9"/>
    <row r="213" customFormat="1" s="9"/>
    <row r="214" customFormat="1" s="9"/>
    <row r="215" customFormat="1" s="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" topLeftCell="A272" activePane="bottomLeft" state="frozen"/>
      <selection pane="bottomLeft" activeCell="G280" sqref="G280"/>
    </sheetView>
  </sheetViews>
  <sheetFormatPr baseColWidth="8" defaultRowHeight="14.5"/>
  <sheetData>
    <row r="1" ht="18" customHeight="1" s="11">
      <c r="A1" s="1" t="inlineStr">
        <is>
          <t>🪣  SERVICES &amp; PRICING CATALOG</t>
        </is>
      </c>
    </row>
    <row r="2" ht="52" customHeight="1" s="11">
      <c r="A2" s="2" t="inlineStr">
        <is>
          <t>Service
Code</t>
        </is>
      </c>
      <c r="B2" s="2" t="inlineStr">
        <is>
          <t>Service
Category</t>
        </is>
      </c>
      <c r="C2" s="2" t="inlineStr">
        <is>
          <t>Service
Name / Description</t>
        </is>
      </c>
      <c r="D2" s="2" t="inlineStr">
        <is>
          <t>Base
Price ($)</t>
        </is>
      </c>
      <c r="E2" s="2" t="inlineStr">
        <is>
          <t>Unit /
Basis</t>
        </is>
      </c>
      <c r="F2" s="2" t="inlineStr">
        <is>
          <t>Min.
Charge ($)</t>
        </is>
      </c>
      <c r="G2" s="2" t="inlineStr">
        <is>
          <t>Comm.
Multiplier</t>
        </is>
      </c>
      <c r="H2" s="2" t="inlineStr">
        <is>
          <t>Tax
Category</t>
        </is>
      </c>
      <c r="I2" s="2" t="inlineStr">
        <is>
          <t>Notes</t>
        </is>
      </c>
    </row>
    <row r="3" ht="50" customHeight="1" s="11">
      <c r="A3" s="3" t="inlineStr">
        <is>
          <t>WIN-01</t>
        </is>
      </c>
      <c r="B3" s="3" t="inlineStr">
        <is>
          <t>Window Washing</t>
        </is>
      </c>
      <c r="C3" s="3" t="inlineStr">
        <is>
          <t>Residential — per window pane</t>
        </is>
      </c>
      <c r="D3" s="3" t="n">
        <v>12</v>
      </c>
      <c r="E3" s="3" t="inlineStr">
        <is>
          <t>per pane</t>
        </is>
      </c>
      <c r="F3" s="3" t="n">
        <v>75</v>
      </c>
      <c r="G3" s="3" t="n">
        <v>1</v>
      </c>
      <c r="H3" s="3" t="inlineStr">
        <is>
          <t>Taxable</t>
        </is>
      </c>
      <c r="I3" s="3" t="inlineStr">
        <is>
          <t>Standard single/double pane</t>
        </is>
      </c>
    </row>
    <row r="4" ht="62.5" customHeight="1" s="11">
      <c r="A4" s="3" t="inlineStr">
        <is>
          <t>WIN-02</t>
        </is>
      </c>
      <c r="B4" s="3" t="inlineStr">
        <is>
          <t>Window Washing</t>
        </is>
      </c>
      <c r="C4" s="3" t="inlineStr">
        <is>
          <t>Commercial storefront — per panel</t>
        </is>
      </c>
      <c r="D4" s="3" t="n">
        <v>45</v>
      </c>
      <c r="E4" s="3" t="inlineStr">
        <is>
          <t>per panel</t>
        </is>
      </c>
      <c r="F4" s="3" t="n">
        <v>100</v>
      </c>
      <c r="G4" s="3" t="n">
        <v>1.2</v>
      </c>
      <c r="H4" s="3" t="inlineStr">
        <is>
          <t>Taxable</t>
        </is>
      </c>
      <c r="I4" s="3" t="inlineStr">
        <is>
          <t>Large glass panels</t>
        </is>
      </c>
    </row>
    <row r="5" ht="50" customHeight="1" s="11">
      <c r="A5" s="3" t="inlineStr">
        <is>
          <t>WIN-03</t>
        </is>
      </c>
      <c r="B5" s="3" t="inlineStr">
        <is>
          <t>Window Washing</t>
        </is>
      </c>
      <c r="C5" s="3" t="inlineStr">
        <is>
          <t>High-rise / 2nd story add-on</t>
        </is>
      </c>
      <c r="D5" s="3" t="n">
        <v>5</v>
      </c>
      <c r="E5" s="3" t="inlineStr">
        <is>
          <t>per pane</t>
        </is>
      </c>
      <c r="F5" s="3" t="n">
        <v>0</v>
      </c>
      <c r="H5" s="3" t="inlineStr">
        <is>
          <t>Taxable</t>
        </is>
      </c>
      <c r="I5" s="3" t="inlineStr">
        <is>
          <t>Added to base window price</t>
        </is>
      </c>
    </row>
    <row r="6" ht="37.5" customHeight="1" s="11">
      <c r="A6" s="3" t="inlineStr">
        <is>
          <t>WIN-04</t>
        </is>
      </c>
      <c r="B6" s="3" t="inlineStr">
        <is>
          <t>Window Washing</t>
        </is>
      </c>
      <c r="C6" s="3" t="inlineStr">
        <is>
          <t>Screen cleaning</t>
        </is>
      </c>
      <c r="D6" s="3" t="n">
        <v>3</v>
      </c>
      <c r="E6" s="3" t="inlineStr">
        <is>
          <t>per screen</t>
        </is>
      </c>
      <c r="F6" s="3" t="n">
        <v>0</v>
      </c>
      <c r="H6" s="3" t="inlineStr">
        <is>
          <t>Taxable</t>
        </is>
      </c>
      <c r="I6" s="3" t="inlineStr">
        <is>
          <t>Remove, clean, reinstall</t>
        </is>
      </c>
    </row>
    <row r="7" ht="37.5" customHeight="1" s="11">
      <c r="A7" s="3" t="inlineStr">
        <is>
          <t>WIN-05</t>
        </is>
      </c>
      <c r="B7" s="3" t="inlineStr">
        <is>
          <t>Window Washing</t>
        </is>
      </c>
      <c r="C7" s="3" t="inlineStr">
        <is>
          <t>Interior + Exterior combo</t>
        </is>
      </c>
      <c r="D7" s="3" t="n">
        <v>18</v>
      </c>
      <c r="E7" s="3" t="inlineStr">
        <is>
          <t>per pane</t>
        </is>
      </c>
      <c r="F7" s="3" t="n">
        <v>90</v>
      </c>
      <c r="G7" s="3" t="n">
        <v>1.15</v>
      </c>
      <c r="H7" s="3" t="inlineStr">
        <is>
          <t>Taxable</t>
        </is>
      </c>
      <c r="I7" s="3" t="inlineStr">
        <is>
          <t>Both sides</t>
        </is>
      </c>
    </row>
    <row r="8" ht="37.5" customHeight="1" s="11">
      <c r="A8" s="3" t="inlineStr">
        <is>
          <t>PRE-01</t>
        </is>
      </c>
      <c r="B8" s="3" t="inlineStr">
        <is>
          <t>Pressure Washing</t>
        </is>
      </c>
      <c r="C8" s="3" t="inlineStr">
        <is>
          <t>Driveway / concrete</t>
        </is>
      </c>
      <c r="D8" s="3" t="n">
        <v>0.15</v>
      </c>
      <c r="E8" s="3" t="inlineStr">
        <is>
          <t>per sq ft</t>
        </is>
      </c>
      <c r="F8" s="3" t="n">
        <v>100</v>
      </c>
      <c r="G8" s="3" t="n">
        <v>1.1</v>
      </c>
      <c r="H8" s="3" t="inlineStr">
        <is>
          <t>Taxable</t>
        </is>
      </c>
      <c r="I8" s="3" t="inlineStr">
        <is>
          <t>Up to 3000 PSI</t>
        </is>
      </c>
    </row>
    <row r="9" ht="37.5" customHeight="1" s="11">
      <c r="A9" s="3" t="inlineStr">
        <is>
          <t>PRE-02</t>
        </is>
      </c>
      <c r="B9" s="3" t="inlineStr">
        <is>
          <t>Pressure Washing</t>
        </is>
      </c>
      <c r="C9" s="3" t="inlineStr">
        <is>
          <t>House siding / exterior</t>
        </is>
      </c>
      <c r="D9" s="3" t="n">
        <v>0.2</v>
      </c>
      <c r="E9" s="3" t="inlineStr">
        <is>
          <t>per sq ft</t>
        </is>
      </c>
      <c r="F9" s="3" t="n">
        <v>150</v>
      </c>
      <c r="G9" s="3" t="n">
        <v>1.15</v>
      </c>
      <c r="H9" s="3" t="inlineStr">
        <is>
          <t>Taxable</t>
        </is>
      </c>
      <c r="I9" s="3" t="inlineStr">
        <is>
          <t>Soft wash available</t>
        </is>
      </c>
    </row>
    <row r="10" ht="37.5" customHeight="1" s="11">
      <c r="A10" s="3" t="inlineStr">
        <is>
          <t>PRE-03</t>
        </is>
      </c>
      <c r="B10" s="3" t="inlineStr">
        <is>
          <t>Pressure Washing</t>
        </is>
      </c>
      <c r="C10" s="3" t="inlineStr">
        <is>
          <t>Deck / wood surface</t>
        </is>
      </c>
      <c r="D10" s="3" t="n">
        <v>0.25</v>
      </c>
      <c r="E10" s="3" t="inlineStr">
        <is>
          <t>per sq ft</t>
        </is>
      </c>
      <c r="F10" s="3" t="n">
        <v>125</v>
      </c>
      <c r="G10" s="3" t="n">
        <v>1.1</v>
      </c>
      <c r="H10" s="3" t="inlineStr">
        <is>
          <t>Taxable</t>
        </is>
      </c>
      <c r="I10" s="3" t="inlineStr">
        <is>
          <t>Includes pre-treat</t>
        </is>
      </c>
    </row>
    <row r="11" ht="37.5" customHeight="1" s="11">
      <c r="A11" s="3" t="inlineStr">
        <is>
          <t>PRE-04</t>
        </is>
      </c>
      <c r="B11" s="3" t="inlineStr">
        <is>
          <t>Pressure Washing</t>
        </is>
      </c>
      <c r="C11" s="3" t="inlineStr">
        <is>
          <t>Fence — vinyl/wood</t>
        </is>
      </c>
      <c r="D11" s="3" t="n">
        <v>0.18</v>
      </c>
      <c r="E11" s="3" t="inlineStr">
        <is>
          <t>per linear ft</t>
        </is>
      </c>
      <c r="F11" s="3" t="n">
        <v>75</v>
      </c>
      <c r="G11" s="3" t="n">
        <v>1.1</v>
      </c>
      <c r="H11" s="3" t="inlineStr">
        <is>
          <t>Taxable</t>
        </is>
      </c>
      <c r="I11" s="3" t="inlineStr">
        <is>
          <t>Both sides</t>
        </is>
      </c>
    </row>
    <row r="12" ht="37.5" customHeight="1" s="11">
      <c r="A12" s="3" t="inlineStr">
        <is>
          <t>PRE-05</t>
        </is>
      </c>
      <c r="B12" s="3" t="inlineStr">
        <is>
          <t>Pressure Washing</t>
        </is>
      </c>
      <c r="C12" s="3" t="inlineStr">
        <is>
          <t>Roof soft wash</t>
        </is>
      </c>
      <c r="D12" s="3" t="n">
        <v>0.3</v>
      </c>
      <c r="E12" s="3" t="inlineStr">
        <is>
          <t>per sq ft</t>
        </is>
      </c>
      <c r="F12" s="3" t="n">
        <v>200</v>
      </c>
      <c r="G12" s="3" t="n">
        <v>1.25</v>
      </c>
      <c r="H12" s="3" t="inlineStr">
        <is>
          <t>Taxable</t>
        </is>
      </c>
      <c r="I12" s="3" t="inlineStr">
        <is>
          <t>Low pressure method</t>
        </is>
      </c>
    </row>
    <row r="13" ht="50" customHeight="1" s="11">
      <c r="A13" s="3" t="inlineStr">
        <is>
          <t>PKG-01</t>
        </is>
      </c>
      <c r="B13" s="3" t="inlineStr">
        <is>
          <t>Package Deal</t>
        </is>
      </c>
      <c r="C13" s="3" t="inlineStr">
        <is>
          <t>Window + Pressure combo</t>
        </is>
      </c>
      <c r="E13" s="3" t="inlineStr">
        <is>
          <t>Flat / custom</t>
        </is>
      </c>
      <c r="F13" s="3" t="n">
        <v>200</v>
      </c>
      <c r="G13" s="3" t="n">
        <v>1</v>
      </c>
      <c r="H13" s="3" t="inlineStr">
        <is>
          <t>Taxable</t>
        </is>
      </c>
      <c r="I13" s="3" t="inlineStr">
        <is>
          <t>Quote per site visit</t>
        </is>
      </c>
    </row>
    <row r="14" ht="50" customFormat="1" customHeight="1" s="9">
      <c r="A14" s="3" t="inlineStr">
        <is>
          <t>PKG-02</t>
        </is>
      </c>
      <c r="B14" s="3" t="inlineStr">
        <is>
          <t>Package Deal</t>
        </is>
      </c>
      <c r="C14" s="3" t="inlineStr">
        <is>
          <t>Recurring monthly contract</t>
        </is>
      </c>
      <c r="E14" s="3" t="inlineStr">
        <is>
          <t>Monthly flat</t>
        </is>
      </c>
      <c r="F14" s="3" t="n">
        <v>300</v>
      </c>
      <c r="G14" s="3" t="n">
        <v>1</v>
      </c>
      <c r="H14" s="3" t="inlineStr">
        <is>
          <t>Taxable</t>
        </is>
      </c>
      <c r="I14" s="3" t="inlineStr">
        <is>
          <t>Min 3-month commitment</t>
        </is>
      </c>
    </row>
    <row r="15" customFormat="1" s="9">
      <c r="A15" s="3" t="inlineStr">
        <is>
          <t>PKG-03</t>
        </is>
      </c>
      <c r="B15" s="9" t="inlineStr">
        <is>
          <t>Floor</t>
        </is>
      </c>
    </row>
    <row r="16" customFormat="1" s="9">
      <c r="A16" s="3" t="inlineStr">
        <is>
          <t>PKG-04</t>
        </is>
      </c>
    </row>
    <row r="17" customFormat="1" s="9">
      <c r="A17" s="3" t="inlineStr">
        <is>
          <t>PKG-05</t>
        </is>
      </c>
    </row>
    <row r="18" customFormat="1" s="9">
      <c r="A18" s="3" t="inlineStr">
        <is>
          <t>PKG-06</t>
        </is>
      </c>
    </row>
    <row r="19" customFormat="1" s="9">
      <c r="A19" s="3" t="inlineStr">
        <is>
          <t>PKG-07</t>
        </is>
      </c>
    </row>
    <row r="20" customFormat="1" s="9">
      <c r="A20" s="3" t="inlineStr">
        <is>
          <t>PKG-08</t>
        </is>
      </c>
    </row>
    <row r="21" customFormat="1" s="9">
      <c r="A21" s="3" t="inlineStr">
        <is>
          <t>PKG-09</t>
        </is>
      </c>
    </row>
    <row r="22" customFormat="1" s="9">
      <c r="A22" s="3" t="inlineStr">
        <is>
          <t>PKG-10</t>
        </is>
      </c>
    </row>
    <row r="23" customFormat="1" s="9">
      <c r="A23" s="3" t="inlineStr">
        <is>
          <t>PKG-11</t>
        </is>
      </c>
    </row>
    <row r="24" customFormat="1" s="9">
      <c r="A24" s="3" t="inlineStr">
        <is>
          <t>PKG-12</t>
        </is>
      </c>
    </row>
    <row r="25" customFormat="1" s="9">
      <c r="A25" s="3" t="inlineStr">
        <is>
          <t>PKG-13</t>
        </is>
      </c>
    </row>
    <row r="26" customFormat="1" s="9">
      <c r="A26" s="3" t="inlineStr">
        <is>
          <t>PKG-14</t>
        </is>
      </c>
    </row>
    <row r="27" customFormat="1" s="9">
      <c r="A27" s="3" t="inlineStr">
        <is>
          <t>PKG-15</t>
        </is>
      </c>
    </row>
    <row r="28" customFormat="1" s="9">
      <c r="A28" s="3" t="inlineStr">
        <is>
          <t>PKG-16</t>
        </is>
      </c>
    </row>
    <row r="29" customFormat="1" s="9">
      <c r="A29" s="3" t="inlineStr">
        <is>
          <t>PKG-17</t>
        </is>
      </c>
    </row>
    <row r="30" customFormat="1" s="9">
      <c r="A30" s="3" t="inlineStr">
        <is>
          <t>PKG-18</t>
        </is>
      </c>
    </row>
    <row r="31" customFormat="1" s="9">
      <c r="A31" s="3" t="inlineStr">
        <is>
          <t>PKG-19</t>
        </is>
      </c>
    </row>
    <row r="32" customFormat="1" s="9">
      <c r="A32" s="3" t="inlineStr">
        <is>
          <t>PKG-20</t>
        </is>
      </c>
    </row>
    <row r="33" customFormat="1" s="9">
      <c r="A33" s="3" t="inlineStr">
        <is>
          <t>PKG-21</t>
        </is>
      </c>
    </row>
    <row r="34" customFormat="1" s="9">
      <c r="A34" s="3" t="inlineStr">
        <is>
          <t>PKG-22</t>
        </is>
      </c>
    </row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customFormat="1" s="9"/>
    <row r="85" customFormat="1" s="9"/>
    <row r="86" customFormat="1" s="9"/>
    <row r="87" customFormat="1" s="9"/>
    <row r="88" customFormat="1" s="9"/>
    <row r="89" customFormat="1" s="9"/>
    <row r="90" customFormat="1" s="9"/>
    <row r="91" customFormat="1" s="9"/>
    <row r="92" customFormat="1" s="9"/>
    <row r="93" customFormat="1" s="9"/>
    <row r="94" customFormat="1" s="9"/>
    <row r="95" customFormat="1" s="9"/>
    <row r="96" customFormat="1" s="9"/>
    <row r="97" customFormat="1" s="9"/>
    <row r="98" customFormat="1" s="9"/>
    <row r="99" customFormat="1" s="9"/>
    <row r="100" customFormat="1" s="9"/>
    <row r="101" customFormat="1" s="9"/>
    <row r="102" customFormat="1" s="9"/>
    <row r="103" customFormat="1" s="9"/>
    <row r="104" customFormat="1" s="9"/>
    <row r="105" customFormat="1" s="9"/>
    <row r="106" customFormat="1" s="9"/>
    <row r="107" customFormat="1" s="9"/>
    <row r="108" customFormat="1" s="9"/>
    <row r="109" customFormat="1" s="9"/>
    <row r="110" customFormat="1" s="9"/>
    <row r="111" customFormat="1" s="9"/>
    <row r="112" customFormat="1" s="9"/>
    <row r="113" customFormat="1" s="9"/>
    <row r="114" customFormat="1" s="9"/>
    <row r="115" customFormat="1" s="9"/>
    <row r="116" customFormat="1" s="9"/>
    <row r="117" customFormat="1" s="9"/>
    <row r="118" customFormat="1" s="9"/>
    <row r="119" customFormat="1" s="9"/>
    <row r="120" customFormat="1" s="9"/>
    <row r="121" customFormat="1" s="9"/>
    <row r="122" customFormat="1" s="9"/>
    <row r="123" customFormat="1" s="9"/>
    <row r="124" customFormat="1" s="9"/>
    <row r="125" customFormat="1" s="9"/>
    <row r="126" customFormat="1" s="9"/>
    <row r="127" customFormat="1" s="9"/>
    <row r="128" customFormat="1" s="9"/>
    <row r="129" customFormat="1" s="9"/>
    <row r="130" customFormat="1" s="9"/>
    <row r="131" customFormat="1" s="9"/>
    <row r="132" customFormat="1" s="9"/>
    <row r="133" customFormat="1" s="9"/>
    <row r="134" customFormat="1" s="9"/>
    <row r="135" customFormat="1" s="9"/>
    <row r="136" customFormat="1" s="9"/>
    <row r="137" customFormat="1" s="9"/>
    <row r="138" customFormat="1" s="9"/>
    <row r="139" customFormat="1" s="9"/>
    <row r="140" customFormat="1" s="9"/>
    <row r="141" customFormat="1" s="9"/>
    <row r="142" customFormat="1" s="9"/>
    <row r="143" customFormat="1" s="9"/>
    <row r="144" customFormat="1" s="9"/>
    <row r="145" customFormat="1" s="9"/>
    <row r="146" customFormat="1" s="9"/>
    <row r="147" customFormat="1" s="9"/>
    <row r="148" customFormat="1" s="9"/>
    <row r="149" customFormat="1" s="9"/>
    <row r="150" customFormat="1" s="9"/>
    <row r="151" customFormat="1" s="9"/>
    <row r="152" customFormat="1" s="9"/>
    <row r="153" customFormat="1" s="9"/>
    <row r="154" customFormat="1" s="9"/>
    <row r="155" customFormat="1" s="9"/>
    <row r="156" customFormat="1" s="9"/>
    <row r="157" customFormat="1" s="9"/>
    <row r="158" customFormat="1" s="9"/>
    <row r="159" customFormat="1" s="9"/>
    <row r="160" customFormat="1" s="9"/>
    <row r="161" customFormat="1" s="9"/>
    <row r="162" customFormat="1" s="9"/>
    <row r="163" customFormat="1" s="9"/>
    <row r="164" customFormat="1" s="9"/>
    <row r="165" customFormat="1" s="9"/>
    <row r="166" customFormat="1" s="9"/>
    <row r="167" customFormat="1" s="9"/>
    <row r="168" customFormat="1" s="9"/>
    <row r="169" customFormat="1" s="9"/>
    <row r="170" customFormat="1" s="9"/>
    <row r="171" customFormat="1" s="9"/>
    <row r="172" customFormat="1" s="9"/>
    <row r="173" customFormat="1" s="9"/>
    <row r="174" customFormat="1" s="9"/>
    <row r="175" customFormat="1" s="9"/>
    <row r="176" customFormat="1" s="9"/>
    <row r="177" customFormat="1" s="9"/>
    <row r="178" customFormat="1" s="9"/>
    <row r="179" customFormat="1" s="9"/>
    <row r="180" customFormat="1" s="9"/>
    <row r="181" customFormat="1" s="9"/>
    <row r="182" customFormat="1" s="9"/>
    <row r="183" customFormat="1" s="9"/>
    <row r="184" customFormat="1" s="9"/>
    <row r="185" customFormat="1" s="9"/>
    <row r="186" customFormat="1" s="9"/>
    <row r="187" customFormat="1" s="9"/>
    <row r="188" customFormat="1" s="9"/>
    <row r="189" customFormat="1" s="9"/>
    <row r="190" customFormat="1" s="9"/>
    <row r="191" customFormat="1" s="9"/>
    <row r="192" customFormat="1" s="9"/>
    <row r="193" customFormat="1" s="9"/>
    <row r="194" customFormat="1" s="9"/>
    <row r="195" customFormat="1" s="9"/>
    <row r="196" customFormat="1" s="9"/>
    <row r="197" customFormat="1" s="9"/>
    <row r="198" customFormat="1" s="9"/>
    <row r="199" customFormat="1" s="9"/>
    <row r="200" customFormat="1" s="9"/>
    <row r="201" customFormat="1" s="9"/>
    <row r="202" customFormat="1" s="9"/>
    <row r="203" customFormat="1" s="9"/>
    <row r="204" customFormat="1" s="9"/>
    <row r="205" customFormat="1" s="9"/>
    <row r="206" customFormat="1" s="9"/>
    <row r="207" customFormat="1" s="9"/>
    <row r="208" customFormat="1" s="9"/>
    <row r="209" customFormat="1" s="9"/>
    <row r="210" customFormat="1" s="9"/>
    <row r="211" customFormat="1" s="9"/>
    <row r="212" customFormat="1" s="9"/>
    <row r="213" customFormat="1" s="9"/>
    <row r="214" customFormat="1" s="9"/>
    <row r="215" customFormat="1" s="9"/>
    <row r="216" customFormat="1" s="9"/>
    <row r="217" customFormat="1" s="9"/>
    <row r="218" customFormat="1" s="9"/>
    <row r="219" customFormat="1" s="9"/>
    <row r="220" customFormat="1" s="9"/>
    <row r="221" customFormat="1" s="9"/>
    <row r="222" customFormat="1" s="9"/>
    <row r="223" customFormat="1" s="9"/>
    <row r="224" customFormat="1" s="9"/>
    <row r="225" customFormat="1" s="9"/>
    <row r="226" customFormat="1" s="9"/>
    <row r="227" customFormat="1" s="9"/>
    <row r="228" customFormat="1" s="9"/>
    <row r="229" customFormat="1" s="9"/>
    <row r="230" customFormat="1" s="9"/>
    <row r="231" customFormat="1" s="9"/>
    <row r="232" customFormat="1" s="9"/>
    <row r="233" customFormat="1" s="9"/>
    <row r="234" customFormat="1" s="9"/>
    <row r="235" customFormat="1" s="9"/>
    <row r="236" customFormat="1" s="9"/>
    <row r="237" customFormat="1" s="9"/>
    <row r="238" customFormat="1" s="9"/>
    <row r="239" customFormat="1" s="9"/>
    <row r="240" customFormat="1" s="9"/>
    <row r="241" customFormat="1" s="9"/>
    <row r="242" customFormat="1" s="9"/>
    <row r="243" customFormat="1" s="9"/>
    <row r="244" customFormat="1" s="9"/>
    <row r="245" customFormat="1" s="9"/>
    <row r="246" customFormat="1" s="9"/>
    <row r="247" customFormat="1" s="9"/>
    <row r="248" customFormat="1" s="9"/>
    <row r="249" customFormat="1" s="9"/>
    <row r="250" customFormat="1" s="9"/>
    <row r="251" customFormat="1" s="9"/>
    <row r="252" customFormat="1" s="9"/>
    <row r="253" customFormat="1" s="9"/>
    <row r="254" customFormat="1" s="9"/>
    <row r="255" customFormat="1" s="9"/>
    <row r="256" customFormat="1" s="9"/>
    <row r="257" customFormat="1" s="9"/>
    <row r="258" customFormat="1" s="9"/>
    <row r="259" customFormat="1" s="9"/>
    <row r="260" customFormat="1" s="9"/>
    <row r="261" customFormat="1" s="9"/>
    <row r="262" customFormat="1" s="9"/>
    <row r="263" customFormat="1" s="9"/>
    <row r="264" customFormat="1" s="9"/>
    <row r="265" customFormat="1" s="9"/>
    <row r="266" customFormat="1" s="9"/>
    <row r="267" customFormat="1" s="9"/>
    <row r="268" customFormat="1" s="9"/>
    <row r="269" customFormat="1" s="9"/>
    <row r="270" customFormat="1" s="9"/>
    <row r="271" customFormat="1" s="9"/>
    <row r="272" customFormat="1" s="9"/>
    <row r="273" customFormat="1" s="9"/>
    <row r="274" customFormat="1" s="9"/>
    <row r="275" customFormat="1" s="9"/>
    <row r="276" customFormat="1" s="9"/>
    <row r="277" customFormat="1" s="9"/>
    <row r="278" customFormat="1" s="9"/>
    <row r="279" customFormat="1" s="9"/>
    <row r="280" customFormat="1" s="9"/>
    <row r="281" customFormat="1" s="9"/>
    <row r="282" customFormat="1" s="9"/>
    <row r="283" customFormat="1" s="9"/>
    <row r="284" customFormat="1" s="9"/>
    <row r="285" customFormat="1" s="9"/>
    <row r="286" customFormat="1" s="9"/>
    <row r="287" customFormat="1" s="9"/>
    <row r="288" customFormat="1" s="9"/>
    <row r="289" customFormat="1" s="9"/>
    <row r="290" customFormat="1" s="9"/>
    <row r="291" customFormat="1" s="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B42" sqref="B42"/>
    </sheetView>
  </sheetViews>
  <sheetFormatPr baseColWidth="8" defaultRowHeight="14.5"/>
  <cols>
    <col width="32" customWidth="1" style="11" min="1" max="1"/>
    <col width="52" customWidth="1" style="11" min="2" max="2"/>
    <col width="30" customWidth="1" style="11" min="3" max="4"/>
  </cols>
  <sheetData>
    <row r="1" ht="18" customHeight="1" s="11">
      <c r="A1" s="1" t="inlineStr">
        <is>
          <t>🤖  AI-PROWLER QUICK COMMAND REFERENCE</t>
        </is>
      </c>
    </row>
    <row r="2">
      <c r="A2" s="10" t="inlineStr">
        <is>
          <t>ROUTING &amp; MAPPING</t>
        </is>
      </c>
    </row>
    <row r="3">
      <c r="A3" s="2" t="inlineStr">
        <is>
          <t>Task</t>
        </is>
      </c>
      <c r="B3" s="2" t="inlineStr">
        <is>
          <t>Example Prompt for AI-Prowler</t>
        </is>
      </c>
      <c r="C3" s="2" t="inlineStr">
        <is>
          <t>Tool Used</t>
        </is>
      </c>
      <c r="D3" s="2" t="inlineStr">
        <is>
          <t>Sheet Updated</t>
        </is>
      </c>
    </row>
    <row r="4" ht="25" customHeight="1" s="11">
      <c r="A4" s="3" t="inlineStr">
        <is>
          <t>Geocode new customer address</t>
        </is>
      </c>
      <c r="B4" s="3" t="inlineStr">
        <is>
          <t>Geocode this address: 125 Harbor Blvd, NSB FL 32168</t>
        </is>
      </c>
      <c r="C4" s="3" t="inlineStr">
        <is>
          <t>geocode_address</t>
        </is>
      </c>
      <c r="D4" s="3" t="inlineStr">
        <is>
          <t>Customers col L,M / Jobs_Schedule col I,J</t>
        </is>
      </c>
    </row>
    <row r="5">
      <c r="A5" s="3" t="inlineStr">
        <is>
          <t>Build route map URL</t>
        </is>
      </c>
      <c r="B5" s="3" t="inlineStr">
        <is>
          <t>Build a Google Maps URL for my Monday March 30 stops</t>
        </is>
      </c>
      <c r="C5" s="3" t="inlineStr">
        <is>
          <t>build_maps_url</t>
        </is>
      </c>
      <c r="D5" s="3" t="inlineStr">
        <is>
          <t>Route_Planner col R</t>
        </is>
      </c>
    </row>
    <row r="6" ht="25" customHeight="1" s="11">
      <c r="A6" s="3" t="inlineStr">
        <is>
          <t>Optimize stop order</t>
        </is>
      </c>
      <c r="B6" s="3" t="inlineStr">
        <is>
          <t>Optimize my route for Monday March 30 starting from [depot address]</t>
        </is>
      </c>
      <c r="C6" s="3" t="inlineStr">
        <is>
          <t>optimize_route</t>
        </is>
      </c>
      <c r="D6" s="3" t="inlineStr">
        <is>
          <t>Route_Planner col C</t>
        </is>
      </c>
    </row>
    <row r="8">
      <c r="A8" s="10" t="inlineStr">
        <is>
          <t>SCHEDULING</t>
        </is>
      </c>
    </row>
    <row r="9">
      <c r="A9" s="2" t="inlineStr">
        <is>
          <t>Task</t>
        </is>
      </c>
      <c r="B9" s="2" t="inlineStr">
        <is>
          <t>Example Prompt for AI-Prowler</t>
        </is>
      </c>
      <c r="C9" s="2" t="inlineStr">
        <is>
          <t>Tool Used</t>
        </is>
      </c>
      <c r="D9" s="2" t="inlineStr">
        <is>
          <t>Sheet Updated</t>
        </is>
      </c>
    </row>
    <row r="10">
      <c r="A10" s="3" t="inlineStr">
        <is>
          <t>Schedule a new job</t>
        </is>
      </c>
      <c r="B10" s="3" t="inlineStr">
        <is>
          <t>Schedule window washing for CUST-0002 on April 5 at 9am</t>
        </is>
      </c>
      <c r="C10" s="3" t="inlineStr">
        <is>
          <t>update_job_spreadsheet</t>
        </is>
      </c>
      <c r="D10" s="3" t="inlineStr">
        <is>
          <t>Jobs_Schedule</t>
        </is>
      </c>
    </row>
    <row r="11" ht="25" customHeight="1" s="11">
      <c r="A11" s="3" t="inlineStr">
        <is>
          <t>Check weather before job</t>
        </is>
      </c>
      <c r="B11" s="3" t="inlineStr">
        <is>
          <t>What's the weather forecast for New Smyrna Beach on April 5?</t>
        </is>
      </c>
      <c r="C11" s="3" t="inlineStr">
        <is>
          <t>get_weather</t>
        </is>
      </c>
      <c r="D11" s="3" t="inlineStr">
        <is>
          <t>Jobs_Schedule col V</t>
        </is>
      </c>
    </row>
    <row r="12">
      <c r="A12" s="3" t="inlineStr">
        <is>
          <t>List jobs for a date</t>
        </is>
      </c>
      <c r="B12" s="3" t="inlineStr">
        <is>
          <t>Show me all jobs scheduled for Monday March 30</t>
        </is>
      </c>
      <c r="C12" s="3" t="inlineStr">
        <is>
          <t>read_job_spreadsheet</t>
        </is>
      </c>
      <c r="D12" s="3" t="inlineStr">
        <is>
          <t>Jobs_Schedule</t>
        </is>
      </c>
    </row>
    <row r="13">
      <c r="A13" s="3" t="inlineStr">
        <is>
          <t>Auto-book next recurring job</t>
        </is>
      </c>
      <c r="B13" s="3" t="inlineStr">
        <is>
          <t>Schedule the next recurring job after JOB-0003</t>
        </is>
      </c>
      <c r="C13" s="3" t="inlineStr">
        <is>
          <t>schedule_next_recurring_job</t>
        </is>
      </c>
      <c r="D13" s="3" t="inlineStr">
        <is>
          <t>Jobs_Schedule</t>
        </is>
      </c>
    </row>
    <row r="15">
      <c r="A15" s="10" t="inlineStr">
        <is>
          <t>INVOICING &amp; BILLING</t>
        </is>
      </c>
    </row>
    <row r="16">
      <c r="A16" s="2" t="inlineStr">
        <is>
          <t>Task</t>
        </is>
      </c>
      <c r="B16" s="2" t="inlineStr">
        <is>
          <t>Example Prompt for AI-Prowler</t>
        </is>
      </c>
      <c r="C16" s="2" t="inlineStr">
        <is>
          <t>Tool Used</t>
        </is>
      </c>
      <c r="D16" s="2" t="inlineStr">
        <is>
          <t>Sheet Updated</t>
        </is>
      </c>
    </row>
    <row r="17">
      <c r="A17" s="3" t="inlineStr">
        <is>
          <t>Mark job complete</t>
        </is>
      </c>
      <c r="B17" s="3" t="inlineStr">
        <is>
          <t>Mark JOB-0001 as completed with actual duration 85 min</t>
        </is>
      </c>
      <c r="C17" s="3" t="inlineStr">
        <is>
          <t>update_job_spreadsheet</t>
        </is>
      </c>
      <c r="D17" s="3" t="inlineStr">
        <is>
          <t>Jobs_Schedule col S,W</t>
        </is>
      </c>
    </row>
    <row r="18">
      <c r="A18" s="3" t="inlineStr">
        <is>
          <t>Create / update invoice</t>
        </is>
      </c>
      <c r="B18" s="3" t="inlineStr">
        <is>
          <t>Update invoice INV-0001 with actual amount and mark sent</t>
        </is>
      </c>
      <c r="C18" s="3" t="inlineStr">
        <is>
          <t>update_job_spreadsheet</t>
        </is>
      </c>
      <c r="D18" s="3" t="inlineStr">
        <is>
          <t>Invoices</t>
        </is>
      </c>
    </row>
    <row r="19">
      <c r="A19" s="3" t="inlineStr">
        <is>
          <t>Email invoice to customer</t>
        </is>
      </c>
      <c r="B19" s="3" t="inlineStr">
        <is>
          <t>Email the invoice for INV-0001 to Karen</t>
        </is>
      </c>
      <c r="C19" s="3" t="inlineStr">
        <is>
          <t>email_invoice</t>
        </is>
      </c>
      <c r="D19" s="3" t="inlineStr">
        <is>
          <t>Invoices / Email</t>
        </is>
      </c>
    </row>
    <row r="20">
      <c r="A20" s="3" t="inlineStr">
        <is>
          <t>Send payment reminder email</t>
        </is>
      </c>
      <c r="B20" s="3" t="inlineStr">
        <is>
          <t>Send a payment reminder for INV-0002 to mtorres@gmail.com</t>
        </is>
      </c>
      <c r="C20" s="3" t="inlineStr">
        <is>
          <t>send_email</t>
        </is>
      </c>
      <c r="D20" s="3" t="inlineStr">
        <is>
          <t>Invoices</t>
        </is>
      </c>
    </row>
    <row r="21">
      <c r="A21" s="3" t="inlineStr">
        <is>
          <t>AR aging report</t>
        </is>
      </c>
      <c r="B21" s="3" t="inlineStr">
        <is>
          <t>Show me all overdue unpaid invoices with days outstanding</t>
        </is>
      </c>
      <c r="C21" s="3" t="inlineStr">
        <is>
          <t>get_ar_aging_report</t>
        </is>
      </c>
      <c r="D21" s="3" t="inlineStr">
        <is>
          <t>Invoices (read)</t>
        </is>
      </c>
    </row>
    <row r="22">
      <c r="A22" s="3" t="inlineStr">
        <is>
          <t>Log cash / check payment</t>
        </is>
      </c>
      <c r="B22" s="3" t="inlineStr">
        <is>
          <t>Mark INV-0001 as paid by cash and send receipt to Karen</t>
        </is>
      </c>
      <c r="C22" s="3" t="inlineStr">
        <is>
          <t>email_receipt / text_receipt</t>
        </is>
      </c>
      <c r="D22" s="3" t="inlineStr">
        <is>
          <t>Invoices</t>
        </is>
      </c>
    </row>
    <row r="24">
      <c r="A24" s="10" t="inlineStr">
        <is>
          <t>CUSTOMER COMMUNICATION (SMS)</t>
        </is>
      </c>
    </row>
    <row r="25">
      <c r="A25" s="2" t="inlineStr">
        <is>
          <t>Task</t>
        </is>
      </c>
      <c r="B25" s="2" t="inlineStr">
        <is>
          <t>Example Prompt for AI-Prowler</t>
        </is>
      </c>
      <c r="C25" s="2" t="inlineStr">
        <is>
          <t>Tool Used</t>
        </is>
      </c>
      <c r="D25" s="2" t="inlineStr">
        <is>
          <t>Sheet Updated</t>
        </is>
      </c>
    </row>
    <row r="26">
      <c r="A26" s="3" t="inlineStr">
        <is>
          <t>Text customer 'on my way'</t>
        </is>
      </c>
      <c r="B26" s="3" t="inlineStr">
        <is>
          <t>Text Karen that Mike is 20 minutes away</t>
        </is>
      </c>
      <c r="C26" s="3" t="inlineStr">
        <is>
          <t>send_sms</t>
        </is>
      </c>
      <c r="D26" s="3" t="inlineStr">
        <is>
          <t>Customers (reads Phone)</t>
        </is>
      </c>
    </row>
    <row r="27" ht="25" customHeight="1" s="11">
      <c r="A27" s="3" t="inlineStr">
        <is>
          <t>Send appointment reminder</t>
        </is>
      </c>
      <c r="B27" s="3" t="inlineStr">
        <is>
          <t>Text Michael Torres a reminder for tomorrow 9am window cleaning</t>
        </is>
      </c>
      <c r="C27" s="3" t="inlineStr">
        <is>
          <t>send_sms</t>
        </is>
      </c>
      <c r="D27" s="3" t="inlineStr">
        <is>
          <t>Customers (reads Phone)</t>
        </is>
      </c>
    </row>
    <row r="28">
      <c r="A28" s="3" t="inlineStr">
        <is>
          <t>Send payment reminder text</t>
        </is>
      </c>
      <c r="B28" s="3" t="inlineStr">
        <is>
          <t>Text CUST-0002 that invoice INV-0002 is due</t>
        </is>
      </c>
      <c r="C28" s="3" t="inlineStr">
        <is>
          <t>send_sms</t>
        </is>
      </c>
      <c r="D28" s="3" t="inlineStr">
        <is>
          <t>Customers (reads Phone)</t>
        </is>
      </c>
    </row>
    <row r="29">
      <c r="A29" s="3" t="inlineStr">
        <is>
          <t>Request Google review</t>
        </is>
      </c>
      <c r="B29" s="3" t="inlineStr">
        <is>
          <t>Text Blue Wave Cafe a review request after today's job</t>
        </is>
      </c>
      <c r="C29" s="3" t="inlineStr">
        <is>
          <t>send_sms</t>
        </is>
      </c>
      <c r="D29" s="3" t="inlineStr">
        <is>
          <t>Customers (reads Phone)</t>
        </is>
      </c>
    </row>
    <row r="31">
      <c r="A31" s="10" t="inlineStr">
        <is>
          <t>TIME TRACKING</t>
        </is>
      </c>
    </row>
    <row r="32">
      <c r="A32" s="2" t="inlineStr">
        <is>
          <t>Task</t>
        </is>
      </c>
      <c r="B32" s="2" t="inlineStr">
        <is>
          <t>Example Prompt for AI-Prowler</t>
        </is>
      </c>
      <c r="C32" s="2" t="inlineStr">
        <is>
          <t>Tool Used</t>
        </is>
      </c>
      <c r="D32" s="2" t="inlineStr">
        <is>
          <t>Sheet Updated</t>
        </is>
      </c>
    </row>
    <row r="33">
      <c r="A33" s="3" t="inlineStr">
        <is>
          <t>Clock in to a job</t>
        </is>
      </c>
      <c r="B33" s="3" t="inlineStr">
        <is>
          <t>Clock in for JOB-0005</t>
        </is>
      </c>
      <c r="C33" s="3" t="inlineStr">
        <is>
          <t>log_time_entry (start)</t>
        </is>
      </c>
      <c r="D33" s="3" t="inlineStr">
        <is>
          <t>TimeLog</t>
        </is>
      </c>
    </row>
    <row r="34">
      <c r="A34" s="3" t="inlineStr">
        <is>
          <t>Clock out of a job</t>
        </is>
      </c>
      <c r="B34" s="3" t="inlineStr">
        <is>
          <t>Clock out — I just finished Harbor Inn</t>
        </is>
      </c>
      <c r="C34" s="3" t="inlineStr">
        <is>
          <t>log_time_entry (stop)</t>
        </is>
      </c>
      <c r="D34" s="3" t="inlineStr">
        <is>
          <t>TimeLog + Jobs_Schedule col S</t>
        </is>
      </c>
    </row>
    <row r="36">
      <c r="A36" s="10" t="inlineStr">
        <is>
          <t>CUSTOMER MANAGEMENT</t>
        </is>
      </c>
    </row>
    <row r="37">
      <c r="A37" s="2" t="inlineStr">
        <is>
          <t>Task</t>
        </is>
      </c>
      <c r="B37" s="2" t="inlineStr">
        <is>
          <t>Example Prompt for AI-Prowler</t>
        </is>
      </c>
      <c r="C37" s="2" t="inlineStr">
        <is>
          <t>Tool Used</t>
        </is>
      </c>
      <c r="D37" s="2" t="inlineStr">
        <is>
          <t>Sheet Updated</t>
        </is>
      </c>
    </row>
    <row r="38">
      <c r="A38" s="3" t="inlineStr">
        <is>
          <t>Look up customer</t>
        </is>
      </c>
      <c r="B38" s="3" t="inlineStr">
        <is>
          <t>Find the service history for Harbor Inn Motel</t>
        </is>
      </c>
      <c r="C38" s="3" t="inlineStr">
        <is>
          <t>read_job_spreadsheet</t>
        </is>
      </c>
      <c r="D38" s="3" t="inlineStr">
        <is>
          <t>Customers / Jobs_Schedule</t>
        </is>
      </c>
    </row>
    <row r="39">
      <c r="A39" s="3" t="inlineStr">
        <is>
          <t>Revenue report</t>
        </is>
      </c>
      <c r="B39" s="3" t="inlineStr">
        <is>
          <t>What is total revenue collected this month?</t>
        </is>
      </c>
      <c r="C39" s="3" t="inlineStr">
        <is>
          <t>get_ar_aging_report</t>
        </is>
      </c>
      <c r="D39" s="3" t="inlineStr">
        <is>
          <t>Invoices (read)</t>
        </is>
      </c>
    </row>
    <row r="41">
      <c r="A41" s="10" t="inlineStr">
        <is>
          <t>SYSTEM</t>
        </is>
      </c>
    </row>
    <row r="42">
      <c r="A42" s="2" t="inlineStr">
        <is>
          <t>Task</t>
        </is>
      </c>
      <c r="B42" s="2" t="inlineStr">
        <is>
          <t>Example Prompt for AI-Prowler</t>
        </is>
      </c>
      <c r="C42" s="2" t="inlineStr">
        <is>
          <t>Tool Used</t>
        </is>
      </c>
      <c r="D42" s="2" t="inlineStr">
        <is>
          <t>Sheet Updated</t>
        </is>
      </c>
    </row>
    <row r="43">
      <c r="A43" s="3" t="inlineStr">
        <is>
          <t>Full tool status check</t>
        </is>
      </c>
      <c r="B43" s="3" t="inlineStr">
        <is>
          <t>Check which AI-Prowler action tools are ready</t>
        </is>
      </c>
      <c r="C43" s="3" t="inlineStr">
        <is>
          <t>check_tools_status</t>
        </is>
      </c>
      <c r="D43" s="3" t="inlineStr">
        <is>
          <t>—</t>
        </is>
      </c>
    </row>
  </sheetData>
  <mergeCells count="7">
    <mergeCell ref="A31:D31"/>
    <mergeCell ref="A8:D8"/>
    <mergeCell ref="A15:D15"/>
    <mergeCell ref="A41:D41"/>
    <mergeCell ref="A2:D2"/>
    <mergeCell ref="A24:D24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2026-06-18T13:00:14Z</dcterms:created>
  <dcterms:modified xmlns:dcterms="http://purl.org/dc/terms/" xmlns:xsi="http://www.w3.org/2001/XMLSchema-instance" xsi:type="dcterms:W3CDTF">2026-08-24T16:46:21Z</dcterms:modified>
  <cp:lastModifiedBy>David Vavro</cp:lastModifiedBy>
</cp:coreProperties>
</file>